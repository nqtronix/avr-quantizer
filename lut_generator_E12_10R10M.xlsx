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9"/>
  <workbookPr defaultThemeVersion="166925"/>
  <mc:AlternateContent xmlns:mc="http://schemas.openxmlformats.org/markup-compatibility/2006">
    <mc:Choice Requires="x15">
      <x15ac:absPath xmlns:x15ac="http://schemas.microsoft.com/office/spreadsheetml/2010/11/ac" url="D:\shared\Dokumente\codebase\avr-quantizer\"/>
    </mc:Choice>
  </mc:AlternateContent>
  <xr:revisionPtr revIDLastSave="0" documentId="13_ncr:1_{CE6624AE-7DE6-43E6-871F-9674E8F72D8E}" xr6:coauthVersionLast="36" xr6:coauthVersionMax="36" xr10:uidLastSave="{00000000-0000-0000-0000-000000000000}"/>
  <bookViews>
    <workbookView xWindow="7810" yWindow="0" windowWidth="36500" windowHeight="18320" xr2:uid="{F31E432E-1247-4F18-8B99-AC2EE1672703}"/>
  </bookViews>
  <sheets>
    <sheet name="Sheet1" sheetId="1" r:id="rId1"/>
  </sheets>
  <calcPr calcId="191029" refMode="R1C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6" i="1" l="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5" i="1"/>
  <c r="P5" i="1"/>
  <c r="F7" i="1" l="1"/>
  <c r="F8" i="1"/>
  <c r="F9" i="1"/>
  <c r="F10" i="1"/>
  <c r="F11" i="1"/>
  <c r="F12" i="1"/>
  <c r="F13" i="1"/>
  <c r="F14" i="1"/>
  <c r="F15" i="1"/>
  <c r="F16" i="1"/>
  <c r="F17" i="1"/>
  <c r="F18" i="1"/>
  <c r="F19" i="1"/>
  <c r="F20" i="1"/>
  <c r="F21" i="1"/>
  <c r="F22" i="1"/>
  <c r="F23" i="1"/>
  <c r="F24" i="1"/>
  <c r="F25" i="1"/>
  <c r="F26" i="1"/>
  <c r="F27" i="1"/>
  <c r="F28" i="1"/>
  <c r="F29" i="1"/>
  <c r="F30" i="1"/>
  <c r="F6"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5" i="1" l="1"/>
  <c r="N4" i="1"/>
  <c r="M4" i="1"/>
  <c r="C13" i="1" l="1"/>
  <c r="G14" i="1" l="1"/>
  <c r="G37" i="1"/>
  <c r="G9" i="1"/>
  <c r="G17" i="1"/>
  <c r="G25" i="1"/>
  <c r="G32" i="1"/>
  <c r="G40" i="1"/>
  <c r="G48" i="1"/>
  <c r="G56" i="1"/>
  <c r="G64" i="1"/>
  <c r="G72" i="1"/>
  <c r="G34" i="1"/>
  <c r="G10" i="1"/>
  <c r="G18" i="1"/>
  <c r="G26" i="1"/>
  <c r="G33" i="1"/>
  <c r="G41" i="1"/>
  <c r="G49" i="1"/>
  <c r="G57" i="1"/>
  <c r="G65" i="1"/>
  <c r="G73" i="1"/>
  <c r="G27" i="1"/>
  <c r="G11" i="1"/>
  <c r="G19" i="1"/>
  <c r="G42" i="1"/>
  <c r="G13" i="1"/>
  <c r="G21" i="1"/>
  <c r="G29" i="1"/>
  <c r="G36" i="1"/>
  <c r="G44" i="1"/>
  <c r="G52" i="1"/>
  <c r="G60" i="1"/>
  <c r="G68" i="1"/>
  <c r="G76" i="1"/>
  <c r="G22" i="1"/>
  <c r="G30" i="1"/>
  <c r="G74" i="1"/>
  <c r="G78" i="1"/>
  <c r="G45" i="1"/>
  <c r="G77" i="1"/>
  <c r="G46" i="1"/>
  <c r="G50" i="1"/>
  <c r="G54" i="1"/>
  <c r="G58" i="1"/>
  <c r="G62" i="1"/>
  <c r="G66" i="1"/>
  <c r="G70" i="1"/>
  <c r="G8" i="1"/>
  <c r="G12" i="1"/>
  <c r="G16" i="1"/>
  <c r="G20" i="1"/>
  <c r="G24" i="1"/>
  <c r="G28" i="1"/>
  <c r="G31" i="1"/>
  <c r="G35" i="1"/>
  <c r="G39" i="1"/>
  <c r="G43" i="1"/>
  <c r="G53" i="1"/>
  <c r="G61" i="1"/>
  <c r="G69" i="1"/>
  <c r="G7" i="1"/>
  <c r="G15" i="1"/>
  <c r="G23" i="1"/>
  <c r="G6" i="1"/>
  <c r="G38" i="1"/>
  <c r="G63" i="1"/>
  <c r="G55" i="1"/>
  <c r="G51" i="1"/>
  <c r="G71" i="1"/>
  <c r="G67" i="1"/>
  <c r="G59" i="1"/>
  <c r="G47" i="1"/>
  <c r="G75" i="1"/>
  <c r="G5" i="1"/>
  <c r="H5" i="1" s="1"/>
  <c r="H38" i="1" l="1"/>
  <c r="H43" i="1"/>
  <c r="H12" i="1"/>
  <c r="H46" i="1"/>
  <c r="H68" i="1"/>
  <c r="I68" i="1" s="1"/>
  <c r="H42" i="1"/>
  <c r="H41" i="1"/>
  <c r="I41" i="1" s="1"/>
  <c r="H56" i="1"/>
  <c r="I56" i="1" s="1"/>
  <c r="H14" i="1"/>
  <c r="I14" i="1" s="1"/>
  <c r="H47" i="1"/>
  <c r="I47" i="1" s="1"/>
  <c r="H6" i="1"/>
  <c r="H39" i="1"/>
  <c r="I39" i="1" s="1"/>
  <c r="H8" i="1"/>
  <c r="I8" i="1" s="1"/>
  <c r="H77" i="1"/>
  <c r="I77" i="1" s="1"/>
  <c r="H60" i="1"/>
  <c r="I60" i="1" s="1"/>
  <c r="H19" i="1"/>
  <c r="H33" i="1"/>
  <c r="I33" i="1" s="1"/>
  <c r="H48" i="1"/>
  <c r="I48" i="1" s="1"/>
  <c r="H75" i="1"/>
  <c r="I75" i="1" s="1"/>
  <c r="H35" i="1"/>
  <c r="H52" i="1"/>
  <c r="I52" i="1" s="1"/>
  <c r="H40" i="1"/>
  <c r="H15" i="1"/>
  <c r="H66" i="1"/>
  <c r="H78" i="1"/>
  <c r="I78" i="1" s="1"/>
  <c r="H27" i="1"/>
  <c r="I27" i="1" s="1"/>
  <c r="H18" i="1"/>
  <c r="I18" i="1" s="1"/>
  <c r="H7" i="1"/>
  <c r="H28" i="1"/>
  <c r="I28" i="1" s="1"/>
  <c r="H62" i="1"/>
  <c r="I62" i="1" s="1"/>
  <c r="H74" i="1"/>
  <c r="H36" i="1"/>
  <c r="I36" i="1" s="1"/>
  <c r="H73" i="1"/>
  <c r="I73" i="1" s="1"/>
  <c r="H10" i="1"/>
  <c r="H25" i="1"/>
  <c r="I25" i="1" s="1"/>
  <c r="H59" i="1"/>
  <c r="H70" i="1"/>
  <c r="H11" i="1"/>
  <c r="I11" i="1" s="1"/>
  <c r="H67" i="1"/>
  <c r="I67" i="1" s="1"/>
  <c r="H31" i="1"/>
  <c r="I31" i="1" s="1"/>
  <c r="H44" i="1"/>
  <c r="I44" i="1" s="1"/>
  <c r="H32" i="1"/>
  <c r="L33" i="1" s="1"/>
  <c r="M33" i="1" s="1"/>
  <c r="H71" i="1"/>
  <c r="I71" i="1" s="1"/>
  <c r="H51" i="1"/>
  <c r="I51" i="1" s="1"/>
  <c r="H69" i="1"/>
  <c r="I69" i="1" s="1"/>
  <c r="H24" i="1"/>
  <c r="H58" i="1"/>
  <c r="H30" i="1"/>
  <c r="I30" i="1" s="1"/>
  <c r="H29" i="1"/>
  <c r="I29" i="1" s="1"/>
  <c r="H65" i="1"/>
  <c r="I65" i="1" s="1"/>
  <c r="H34" i="1"/>
  <c r="I34" i="1" s="1"/>
  <c r="H17" i="1"/>
  <c r="I17" i="1" s="1"/>
  <c r="H23" i="1"/>
  <c r="H45" i="1"/>
  <c r="I45" i="1" s="1"/>
  <c r="H26" i="1"/>
  <c r="L27" i="1" s="1"/>
  <c r="M27" i="1" s="1"/>
  <c r="H55" i="1"/>
  <c r="I55" i="1" s="1"/>
  <c r="H61" i="1"/>
  <c r="I61" i="1" s="1"/>
  <c r="H20" i="1"/>
  <c r="I20" i="1" s="1"/>
  <c r="H54" i="1"/>
  <c r="H22" i="1"/>
  <c r="I22" i="1" s="1"/>
  <c r="H21" i="1"/>
  <c r="I21" i="1" s="1"/>
  <c r="H57" i="1"/>
  <c r="I57" i="1" s="1"/>
  <c r="H72" i="1"/>
  <c r="I72" i="1" s="1"/>
  <c r="H9" i="1"/>
  <c r="H63" i="1"/>
  <c r="I63" i="1" s="1"/>
  <c r="H53" i="1"/>
  <c r="I53" i="1" s="1"/>
  <c r="H16" i="1"/>
  <c r="H50" i="1"/>
  <c r="H76" i="1"/>
  <c r="H13" i="1"/>
  <c r="L14" i="1" s="1"/>
  <c r="M14" i="1" s="1"/>
  <c r="H49" i="1"/>
  <c r="H64" i="1"/>
  <c r="H37" i="1"/>
  <c r="L38" i="1" s="1"/>
  <c r="M38" i="1" s="1"/>
  <c r="I5" i="1"/>
  <c r="J5" i="1" s="1"/>
  <c r="L5" i="1"/>
  <c r="L59" i="1" l="1"/>
  <c r="L17" i="1"/>
  <c r="M17" i="1" s="1"/>
  <c r="L60" i="1"/>
  <c r="M60" i="1" s="1"/>
  <c r="L11" i="1"/>
  <c r="M11" i="1" s="1"/>
  <c r="L65" i="1"/>
  <c r="M65" i="1" s="1"/>
  <c r="L10" i="1"/>
  <c r="M10" i="1" s="1"/>
  <c r="L77" i="1"/>
  <c r="L8" i="1"/>
  <c r="M8" i="1" s="1"/>
  <c r="L18" i="1"/>
  <c r="M18" i="1" s="1"/>
  <c r="L52" i="1"/>
  <c r="I26" i="1"/>
  <c r="L41" i="1"/>
  <c r="L20" i="1"/>
  <c r="M20" i="1" s="1"/>
  <c r="I9" i="1"/>
  <c r="L55" i="1"/>
  <c r="L71" i="1"/>
  <c r="M71" i="1" s="1"/>
  <c r="L62" i="1"/>
  <c r="M62" i="1" s="1"/>
  <c r="L39" i="1"/>
  <c r="M39" i="1" s="1"/>
  <c r="L50" i="1"/>
  <c r="M50" i="1" s="1"/>
  <c r="I59" i="1"/>
  <c r="J59" i="1" s="1"/>
  <c r="L25" i="1"/>
  <c r="M25" i="1" s="1"/>
  <c r="I13" i="1"/>
  <c r="J13" i="1" s="1"/>
  <c r="L56" i="1"/>
  <c r="M56" i="1" s="1"/>
  <c r="L75" i="1"/>
  <c r="M75" i="1" s="1"/>
  <c r="L28" i="1"/>
  <c r="M28" i="1" s="1"/>
  <c r="L36" i="1"/>
  <c r="M36" i="1" s="1"/>
  <c r="L43" i="1"/>
  <c r="M43" i="1" s="1"/>
  <c r="L51" i="1"/>
  <c r="M51" i="1" s="1"/>
  <c r="L68" i="1"/>
  <c r="M68" i="1" s="1"/>
  <c r="L67" i="1"/>
  <c r="M67" i="1" s="1"/>
  <c r="L47" i="1"/>
  <c r="M47" i="1" s="1"/>
  <c r="I50" i="1"/>
  <c r="J50" i="1" s="1"/>
  <c r="L73" i="1"/>
  <c r="L24" i="1"/>
  <c r="M24" i="1" s="1"/>
  <c r="L31" i="1"/>
  <c r="M31" i="1" s="1"/>
  <c r="L13" i="1"/>
  <c r="M13" i="1" s="1"/>
  <c r="J65" i="1"/>
  <c r="J78" i="1"/>
  <c r="J63" i="1"/>
  <c r="J48" i="1"/>
  <c r="J45" i="1"/>
  <c r="J34" i="1"/>
  <c r="J57" i="1"/>
  <c r="J22" i="1"/>
  <c r="J30" i="1"/>
  <c r="J31" i="1"/>
  <c r="J36" i="1"/>
  <c r="J39" i="1"/>
  <c r="J56" i="1"/>
  <c r="I49" i="1"/>
  <c r="I16" i="1"/>
  <c r="L23" i="1"/>
  <c r="L32" i="1"/>
  <c r="M32" i="1" s="1"/>
  <c r="L37" i="1"/>
  <c r="I7" i="1"/>
  <c r="I66" i="1"/>
  <c r="I35" i="1"/>
  <c r="I19" i="1"/>
  <c r="L40" i="1"/>
  <c r="M40" i="1" s="1"/>
  <c r="L57" i="1"/>
  <c r="M57" i="1" s="1"/>
  <c r="I46" i="1"/>
  <c r="K72" i="1"/>
  <c r="J72" i="1"/>
  <c r="J26" i="1"/>
  <c r="J71" i="1"/>
  <c r="J75" i="1"/>
  <c r="J17" i="1"/>
  <c r="L16" i="1"/>
  <c r="M16" i="1" s="1"/>
  <c r="J60" i="1"/>
  <c r="L7" i="1"/>
  <c r="M7" i="1" s="1"/>
  <c r="J41" i="1"/>
  <c r="J53" i="1"/>
  <c r="I54" i="1"/>
  <c r="I58" i="1"/>
  <c r="L72" i="1"/>
  <c r="M72" i="1" s="1"/>
  <c r="L26" i="1"/>
  <c r="I74" i="1"/>
  <c r="L19" i="1"/>
  <c r="M19" i="1" s="1"/>
  <c r="I15" i="1"/>
  <c r="L76" i="1"/>
  <c r="M76" i="1" s="1"/>
  <c r="L61" i="1"/>
  <c r="M61" i="1" s="1"/>
  <c r="I6" i="1"/>
  <c r="L42" i="1"/>
  <c r="M42" i="1" s="1"/>
  <c r="I12" i="1"/>
  <c r="J9" i="1"/>
  <c r="L35" i="1"/>
  <c r="M35" i="1" s="1"/>
  <c r="J67" i="1"/>
  <c r="J18" i="1"/>
  <c r="L54" i="1"/>
  <c r="M54" i="1" s="1"/>
  <c r="L21" i="1"/>
  <c r="M21" i="1" s="1"/>
  <c r="I24" i="1"/>
  <c r="I32" i="1"/>
  <c r="L12" i="1"/>
  <c r="M12" i="1" s="1"/>
  <c r="I10" i="1"/>
  <c r="L63" i="1"/>
  <c r="I40" i="1"/>
  <c r="J77" i="1"/>
  <c r="J47" i="1"/>
  <c r="L44" i="1"/>
  <c r="J55" i="1"/>
  <c r="J51" i="1"/>
  <c r="J25" i="1"/>
  <c r="I37" i="1"/>
  <c r="I76" i="1"/>
  <c r="L58" i="1"/>
  <c r="M58" i="1" s="1"/>
  <c r="J20" i="1"/>
  <c r="L46" i="1"/>
  <c r="M46" i="1" s="1"/>
  <c r="L66" i="1"/>
  <c r="J11" i="1"/>
  <c r="J62" i="1"/>
  <c r="J27" i="1"/>
  <c r="L49" i="1"/>
  <c r="M49" i="1" s="1"/>
  <c r="L78" i="1"/>
  <c r="M78" i="1" s="1"/>
  <c r="L48" i="1"/>
  <c r="I42" i="1"/>
  <c r="I43" i="1"/>
  <c r="J29" i="1"/>
  <c r="J69" i="1"/>
  <c r="J44" i="1"/>
  <c r="J28" i="1"/>
  <c r="J8" i="1"/>
  <c r="L64" i="1"/>
  <c r="M64" i="1" s="1"/>
  <c r="J21" i="1"/>
  <c r="J61" i="1"/>
  <c r="J73" i="1"/>
  <c r="J52" i="1"/>
  <c r="J33" i="1"/>
  <c r="J14" i="1"/>
  <c r="J68" i="1"/>
  <c r="I64" i="1"/>
  <c r="L6" i="1"/>
  <c r="M6" i="1" s="1"/>
  <c r="L22" i="1"/>
  <c r="M22" i="1" s="1"/>
  <c r="I23" i="1"/>
  <c r="L30" i="1"/>
  <c r="L70" i="1"/>
  <c r="L45" i="1"/>
  <c r="M45" i="1" s="1"/>
  <c r="I70" i="1"/>
  <c r="L74" i="1"/>
  <c r="M74" i="1" s="1"/>
  <c r="L29" i="1"/>
  <c r="M29" i="1" s="1"/>
  <c r="L53" i="1"/>
  <c r="M53" i="1" s="1"/>
  <c r="L34" i="1"/>
  <c r="L9" i="1"/>
  <c r="M9" i="1" s="1"/>
  <c r="L15" i="1"/>
  <c r="M15" i="1" s="1"/>
  <c r="L69" i="1"/>
  <c r="M69" i="1" s="1"/>
  <c r="I38" i="1"/>
  <c r="L79" i="1"/>
  <c r="K5" i="1"/>
  <c r="K45" i="1" l="1"/>
  <c r="K8" i="1"/>
  <c r="K30" i="1"/>
  <c r="K63" i="1"/>
  <c r="M30" i="1"/>
  <c r="K33" i="1"/>
  <c r="K22" i="1"/>
  <c r="K26" i="1"/>
  <c r="K39" i="1"/>
  <c r="K57" i="1"/>
  <c r="K44" i="1"/>
  <c r="K27" i="1"/>
  <c r="K9" i="1"/>
  <c r="K17" i="1"/>
  <c r="K21" i="1"/>
  <c r="K77" i="1"/>
  <c r="K65" i="1"/>
  <c r="K52" i="1"/>
  <c r="K73" i="1"/>
  <c r="K20" i="1"/>
  <c r="K71" i="1"/>
  <c r="J42" i="1"/>
  <c r="J76" i="1"/>
  <c r="J40" i="1"/>
  <c r="M37" i="1"/>
  <c r="J74" i="1"/>
  <c r="K69" i="1"/>
  <c r="M66" i="1"/>
  <c r="K25" i="1"/>
  <c r="K50" i="1"/>
  <c r="M63" i="1"/>
  <c r="K18" i="1"/>
  <c r="J6" i="1"/>
  <c r="J58" i="1"/>
  <c r="K41" i="1"/>
  <c r="K75" i="1"/>
  <c r="J46" i="1"/>
  <c r="K48" i="1"/>
  <c r="J64" i="1"/>
  <c r="M41" i="1"/>
  <c r="M52" i="1"/>
  <c r="M44" i="1"/>
  <c r="K67" i="1"/>
  <c r="M73" i="1"/>
  <c r="M23" i="1"/>
  <c r="K36" i="1"/>
  <c r="M77" i="1"/>
  <c r="J54" i="1"/>
  <c r="J38" i="1"/>
  <c r="J70" i="1"/>
  <c r="K68" i="1"/>
  <c r="K29" i="1"/>
  <c r="K59" i="1"/>
  <c r="K47" i="1"/>
  <c r="J32" i="1"/>
  <c r="J15" i="1"/>
  <c r="K53" i="1"/>
  <c r="K60" i="1"/>
  <c r="J19" i="1"/>
  <c r="J16" i="1"/>
  <c r="K31" i="1"/>
  <c r="K34" i="1"/>
  <c r="K78" i="1"/>
  <c r="M59" i="1"/>
  <c r="J10" i="1"/>
  <c r="M70" i="1"/>
  <c r="K14" i="1"/>
  <c r="K61" i="1"/>
  <c r="K28" i="1"/>
  <c r="J43" i="1"/>
  <c r="K43" i="1"/>
  <c r="K62" i="1"/>
  <c r="K51" i="1"/>
  <c r="J24" i="1"/>
  <c r="J35" i="1"/>
  <c r="J49" i="1"/>
  <c r="M55" i="1"/>
  <c r="J66" i="1"/>
  <c r="M34" i="1"/>
  <c r="J23" i="1"/>
  <c r="M48" i="1"/>
  <c r="K11" i="1"/>
  <c r="J37" i="1"/>
  <c r="K55" i="1"/>
  <c r="J12" i="1"/>
  <c r="M26" i="1"/>
  <c r="K13" i="1"/>
  <c r="J7" i="1"/>
  <c r="K56" i="1"/>
  <c r="M79" i="1"/>
  <c r="M5" i="1"/>
  <c r="K12" i="1" l="1"/>
  <c r="K58" i="1"/>
  <c r="K10" i="1"/>
  <c r="K38" i="1"/>
  <c r="K7" i="1"/>
  <c r="K6" i="1"/>
  <c r="K24" i="1"/>
  <c r="K16" i="1"/>
  <c r="K42" i="1"/>
  <c r="K49" i="1"/>
  <c r="K23" i="1"/>
  <c r="K35" i="1"/>
  <c r="K15" i="1"/>
  <c r="K70" i="1"/>
  <c r="K46" i="1"/>
  <c r="K66" i="1"/>
  <c r="K32" i="1"/>
  <c r="K40" i="1"/>
  <c r="K37" i="1"/>
  <c r="K19" i="1"/>
  <c r="K54" i="1"/>
  <c r="K76" i="1"/>
  <c r="K64" i="1"/>
  <c r="K74" i="1"/>
  <c r="B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Dennis</author>
  </authors>
  <commentList>
    <comment ref="E4" authorId="0" shapeId="0" xr:uid="{078E5A18-D6A7-429D-B20D-7DE0290EF55F}">
      <text>
        <r>
          <rPr>
            <sz val="9"/>
            <color indexed="81"/>
            <rFont val="Tahoma"/>
            <family val="2"/>
          </rPr>
          <t>input your values here;
they must be sorted from low to high</t>
        </r>
      </text>
    </comment>
    <comment ref="F4" authorId="0" shapeId="0" xr:uid="{43BE95AA-46B5-4C41-8B7B-4D5E0EF7AF23}">
      <text>
        <r>
          <rPr>
            <sz val="9"/>
            <color indexed="81"/>
            <rFont val="Tahoma"/>
            <family val="2"/>
          </rPr>
          <t>for this example thresholds are calculated based on the linear avarage between the current and the next value; you may change the formula to suit your needs</t>
        </r>
      </text>
    </comment>
    <comment ref="M4" authorId="0" shapeId="0" xr:uid="{BACA83B0-9933-456F-840E-B8FE494034E0}">
      <text>
        <r>
          <rPr>
            <sz val="9"/>
            <color indexed="81"/>
            <rFont val="Tahoma"/>
            <family val="2"/>
          </rPr>
          <t>"// " required to turn this into a comment in the C-code</t>
        </r>
      </text>
    </comment>
    <comment ref="E5" authorId="0" shapeId="0" xr:uid="{D3968C6E-5139-47AB-A4F4-576835377D18}">
      <text>
        <r>
          <rPr>
            <sz val="9"/>
            <color indexed="81"/>
            <rFont val="Tahoma"/>
            <family val="2"/>
          </rPr>
          <t>lower bound of lowest non-zero bin</t>
        </r>
      </text>
    </comment>
    <comment ref="B9" authorId="0" shapeId="0" xr:uid="{BC21847F-AE55-456A-8EE6-2B0E9338781B}">
      <text>
        <r>
          <rPr>
            <sz val="9"/>
            <color indexed="81"/>
            <rFont val="Tahoma"/>
            <family val="2"/>
          </rPr>
          <t>enter scale manually or enter "auto" for automatic calculation</t>
        </r>
      </text>
    </comment>
    <comment ref="E79" authorId="0" shapeId="0" xr:uid="{3CAA5F52-0184-40B5-AA76-A3870502D4FD}">
      <text>
        <r>
          <rPr>
            <sz val="9"/>
            <color indexed="81"/>
            <rFont val="Tahoma"/>
            <family val="2"/>
          </rPr>
          <t>higher bound of highest non-max value</t>
        </r>
      </text>
    </comment>
    <comment ref="L79" authorId="0" shapeId="0" xr:uid="{4DCB021B-3A93-4D0E-B38B-586B7D597331}">
      <text>
        <r>
          <rPr>
            <sz val="9"/>
            <color indexed="81"/>
            <rFont val="Tahoma"/>
            <family val="2"/>
          </rPr>
          <t>this value does not point to any data, but to the end of the data array+1; IT IS REQUIRED FOR CORRECT OPRERATION</t>
        </r>
      </text>
    </comment>
    <comment ref="M79" authorId="0" shapeId="0" xr:uid="{DF254027-41E7-484D-8933-3EA87A231D96}">
      <text>
        <r>
          <rPr>
            <sz val="9"/>
            <color indexed="81"/>
            <rFont val="Tahoma"/>
            <family val="2"/>
          </rPr>
          <t>this value does not point to any data, but to the end of the data array+1; IT IS REQUIRED FOR CORRECT OPRERATION</t>
        </r>
      </text>
    </comment>
  </commentList>
</comments>
</file>

<file path=xl/sharedStrings.xml><?xml version="1.0" encoding="utf-8"?>
<sst xmlns="http://schemas.openxmlformats.org/spreadsheetml/2006/main" count="24" uniqueCount="22">
  <si>
    <t>error</t>
  </si>
  <si>
    <t>scale</t>
  </si>
  <si>
    <t>scaled</t>
  </si>
  <si>
    <t>thresholds</t>
  </si>
  <si>
    <t>inputs</t>
  </si>
  <si>
    <t>values</t>
  </si>
  <si>
    <t>ideal</t>
  </si>
  <si>
    <t>round</t>
  </si>
  <si>
    <t>output</t>
  </si>
  <si>
    <t>name</t>
  </si>
  <si>
    <t>byte lut</t>
  </si>
  <si>
    <t>user config</t>
  </si>
  <si>
    <t>param</t>
  </si>
  <si>
    <t>byte in</t>
  </si>
  <si>
    <t>value</t>
  </si>
  <si>
    <t>bits</t>
  </si>
  <si>
    <t>auto</t>
  </si>
  <si>
    <t>formula inputs</t>
  </si>
  <si>
    <t>offset</t>
  </si>
  <si>
    <t>variable declaration preview</t>
  </si>
  <si>
    <t>generated LUT (copy this)</t>
  </si>
  <si>
    <t>E12_10R10M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</si>
</sst>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scheme val="minor"/>
    </font>
    <font>
      <sz val="11"/>
      <color theme="1"/>
      <name val="Calibri"/>
      <family val="2"/>
      <scheme val="minor"/>
    </font>
    <font>
      <b/>
      <sz val="13"/>
      <color theme="3"/>
      <name val="Calibri"/>
      <family val="2"/>
      <scheme val="minor"/>
    </font>
    <font>
      <sz val="11"/>
      <color rgb="FF3F3F76"/>
      <name val="Calibri"/>
      <family val="2"/>
      <scheme val="minor"/>
    </font>
    <font>
      <b/>
      <sz val="11"/>
      <color theme="1"/>
      <name val="Calibri"/>
      <family val="2"/>
      <scheme val="minor"/>
    </font>
    <font>
      <i/>
      <sz val="11"/>
      <color rgb="FF3F3F76"/>
      <name val="Calibri"/>
      <family val="2"/>
      <scheme val="minor"/>
    </font>
    <font>
      <b/>
      <sz val="11"/>
      <color rgb="FFFA7D00"/>
      <name val="Calibri"/>
      <family val="2"/>
      <scheme val="minor"/>
    </font>
    <font>
      <sz val="9"/>
      <color indexed="81"/>
      <name val="Tahoma"/>
      <family val="2"/>
    </font>
    <font>
      <b/>
      <sz val="11"/>
      <color rgb="FF3F3F3F"/>
      <name val="Calibri"/>
      <family val="2"/>
      <scheme val="minor"/>
    </font>
  </fonts>
  <fills count="4">
    <fill>
      <patternFill patternType="none"/>
    </fill>
    <fill>
      <patternFill patternType="gray125"/>
    </fill>
    <fill>
      <patternFill patternType="solid">
        <fgColor rgb="FFFFCC99"/>
      </patternFill>
    </fill>
    <fill>
      <patternFill patternType="solid">
        <fgColor rgb="FFF2F2F2"/>
      </patternFill>
    </fill>
  </fills>
  <borders count="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indexed="64"/>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top/>
      <bottom/>
      <diagonal/>
    </border>
    <border>
      <left style="thin">
        <color rgb="FF3F3F3F"/>
      </left>
      <right style="thin">
        <color rgb="FF3F3F3F"/>
      </right>
      <top style="thin">
        <color rgb="FF3F3F3F"/>
      </top>
      <bottom style="thin">
        <color rgb="FF3F3F3F"/>
      </bottom>
      <diagonal/>
    </border>
  </borders>
  <cellStyleXfs count="6">
    <xf numFmtId="0" fontId="0" fillId="0" borderId="0"/>
    <xf numFmtId="9" fontId="1" fillId="0" borderId="0" applyFont="0" applyFill="0" applyBorder="0" applyAlignment="0" applyProtection="0"/>
    <xf numFmtId="0" fontId="2" fillId="0" borderId="1" applyNumberFormat="0" applyFill="0" applyAlignment="0" applyProtection="0"/>
    <xf numFmtId="0" fontId="3" fillId="2" borderId="2" applyNumberFormat="0" applyAlignment="0" applyProtection="0"/>
    <xf numFmtId="0" fontId="6" fillId="3" borderId="2" applyNumberFormat="0" applyAlignment="0" applyProtection="0"/>
    <xf numFmtId="0" fontId="8" fillId="3" borderId="8" applyNumberFormat="0" applyAlignment="0" applyProtection="0"/>
  </cellStyleXfs>
  <cellXfs count="29">
    <xf numFmtId="0" fontId="0" fillId="0" borderId="0" xfId="0"/>
    <xf numFmtId="0" fontId="2" fillId="0" borderId="1" xfId="2"/>
    <xf numFmtId="0" fontId="0" fillId="0" borderId="0" xfId="0" applyAlignment="1">
      <alignment horizontal="right"/>
    </xf>
    <xf numFmtId="0" fontId="0" fillId="0" borderId="0" xfId="0" applyAlignment="1">
      <alignment horizontal="left"/>
    </xf>
    <xf numFmtId="0" fontId="4" fillId="0" borderId="3" xfId="0" applyFont="1" applyBorder="1" applyAlignment="1">
      <alignment horizontal="center"/>
    </xf>
    <xf numFmtId="0" fontId="4" fillId="0" borderId="0" xfId="0" applyFont="1" applyAlignment="1">
      <alignment horizontal="center"/>
    </xf>
    <xf numFmtId="0" fontId="0" fillId="0" borderId="0" xfId="0"/>
    <xf numFmtId="0" fontId="0" fillId="0" borderId="0" xfId="0" applyAlignment="1">
      <alignment horizontal="right"/>
    </xf>
    <xf numFmtId="164" fontId="0" fillId="0" borderId="0" xfId="0" applyNumberFormat="1" applyAlignment="1">
      <alignment horizontal="right"/>
    </xf>
    <xf numFmtId="0" fontId="4" fillId="0" borderId="3" xfId="0" applyFont="1" applyBorder="1" applyAlignment="1">
      <alignment horizontal="center"/>
    </xf>
    <xf numFmtId="0" fontId="4" fillId="0" borderId="0" xfId="0" applyFont="1" applyAlignment="1">
      <alignment horizontal="center"/>
    </xf>
    <xf numFmtId="164" fontId="0" fillId="0" borderId="0" xfId="0" applyNumberFormat="1"/>
    <xf numFmtId="0" fontId="6" fillId="3" borderId="2" xfId="4" applyAlignment="1">
      <alignment horizontal="right"/>
    </xf>
    <xf numFmtId="0" fontId="5" fillId="2" borderId="2" xfId="3" applyFont="1" applyAlignment="1">
      <alignment horizontal="right"/>
    </xf>
    <xf numFmtId="0" fontId="4" fillId="0" borderId="0" xfId="0" applyFont="1" applyAlignment="1">
      <alignment horizontal="left"/>
    </xf>
    <xf numFmtId="0" fontId="4" fillId="0" borderId="0" xfId="0" applyFont="1" applyAlignment="1">
      <alignment horizontal="right"/>
    </xf>
    <xf numFmtId="1" fontId="0" fillId="0" borderId="0" xfId="0" applyNumberFormat="1"/>
    <xf numFmtId="165" fontId="0" fillId="0" borderId="0" xfId="1" applyNumberFormat="1" applyFont="1"/>
    <xf numFmtId="0" fontId="4" fillId="0" borderId="6" xfId="0" applyFont="1" applyBorder="1" applyAlignment="1">
      <alignment horizontal="center"/>
    </xf>
    <xf numFmtId="9" fontId="0" fillId="0" borderId="0" xfId="1" applyNumberFormat="1" applyFont="1" applyAlignment="1">
      <alignment horizontal="right"/>
    </xf>
    <xf numFmtId="0" fontId="5" fillId="2" borderId="2" xfId="3" applyFont="1"/>
    <xf numFmtId="0" fontId="0" fillId="0" borderId="0" xfId="0" applyAlignment="1">
      <alignment horizontal="right" wrapText="1"/>
    </xf>
    <xf numFmtId="0" fontId="4" fillId="0" borderId="0" xfId="0" applyFont="1" applyAlignment="1">
      <alignment horizontal="center"/>
    </xf>
    <xf numFmtId="0" fontId="0" fillId="0" borderId="4" xfId="0" applyBorder="1" applyAlignment="1">
      <alignment horizontal="left" vertical="top" wrapText="1"/>
    </xf>
    <xf numFmtId="0" fontId="0" fillId="0" borderId="0" xfId="0" applyBorder="1" applyAlignment="1">
      <alignment horizontal="left" vertical="top" wrapText="1"/>
    </xf>
    <xf numFmtId="0" fontId="8" fillId="3" borderId="8" xfId="5" applyAlignment="1">
      <alignment horizontal="left" wrapText="1"/>
    </xf>
    <xf numFmtId="0" fontId="4" fillId="0" borderId="7" xfId="0" applyFont="1" applyBorder="1" applyAlignment="1">
      <alignment horizontal="center"/>
    </xf>
    <xf numFmtId="0" fontId="4" fillId="0" borderId="0" xfId="0" applyFont="1" applyBorder="1" applyAlignment="1">
      <alignment horizontal="center"/>
    </xf>
    <xf numFmtId="0" fontId="4" fillId="0" borderId="5" xfId="0" applyFont="1" applyBorder="1" applyAlignment="1">
      <alignment horizontal="center"/>
    </xf>
  </cellXfs>
  <cellStyles count="6">
    <cellStyle name="Calculation" xfId="4" builtinId="22"/>
    <cellStyle name="Heading 2" xfId="2" builtinId="17"/>
    <cellStyle name="Input" xfId="3" builtinId="20"/>
    <cellStyle name="Normal" xfId="0" builtinId="0"/>
    <cellStyle name="Output" xfId="5" builtinId="21"/>
    <cellStyle name="Percent" xfId="1" builtinId="5"/>
  </cellStyles>
  <dxfs count="0"/>
  <tableStyles count="0" defaultTableStyle="TableStyleMedium2" defaultPivotStyle="PivotStyleLight16"/>
  <colors>
    <mruColors>
      <color rgb="FFF8696B"/>
      <color rgb="FFFFEB84"/>
      <color rgb="FF63BE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72B51-097A-4F0D-94C8-36FB4DE8AA5D}">
  <dimension ref="A1:R83"/>
  <sheetViews>
    <sheetView tabSelected="1" topLeftCell="A3" workbookViewId="0">
      <selection activeCell="B16" sqref="B16:C16"/>
    </sheetView>
  </sheetViews>
  <sheetFormatPr defaultRowHeight="14.5" x14ac:dyDescent="0.35"/>
  <cols>
    <col min="1" max="1" width="4.36328125" style="6" customWidth="1"/>
    <col min="2" max="3" width="16.7265625" style="6" customWidth="1"/>
    <col min="4" max="4" width="2.81640625" style="6" customWidth="1"/>
    <col min="5" max="5" width="11.08984375" style="6" customWidth="1"/>
    <col min="6" max="11" width="11.08984375" customWidth="1"/>
    <col min="12" max="12" width="11.08984375" style="6" customWidth="1"/>
    <col min="13" max="14" width="11.08984375" customWidth="1"/>
    <col min="15" max="15" width="2.81640625" customWidth="1"/>
    <col min="16" max="16" width="59.7265625" customWidth="1"/>
  </cols>
  <sheetData>
    <row r="1" spans="1:16" s="1" customFormat="1" ht="17.5" thickBot="1" x14ac:dyDescent="0.45"/>
    <row r="2" spans="1:16" ht="15" thickTop="1" x14ac:dyDescent="0.35"/>
    <row r="3" spans="1:16" s="5" customFormat="1" x14ac:dyDescent="0.35">
      <c r="A3" s="10"/>
      <c r="B3" s="22" t="s">
        <v>11</v>
      </c>
      <c r="C3" s="22"/>
      <c r="D3" s="10"/>
      <c r="E3" s="26" t="s">
        <v>4</v>
      </c>
      <c r="F3" s="27"/>
      <c r="G3" s="28"/>
      <c r="H3" s="26" t="s">
        <v>5</v>
      </c>
      <c r="I3" s="27"/>
      <c r="J3" s="27"/>
      <c r="K3" s="27"/>
      <c r="L3" s="26" t="s">
        <v>8</v>
      </c>
      <c r="M3" s="27"/>
      <c r="N3" s="27"/>
      <c r="O3" s="27"/>
      <c r="P3" s="27"/>
    </row>
    <row r="4" spans="1:16" s="5" customFormat="1" ht="15" thickBot="1" x14ac:dyDescent="0.4">
      <c r="A4" s="10"/>
      <c r="B4" s="9" t="s">
        <v>12</v>
      </c>
      <c r="C4" s="9" t="s">
        <v>14</v>
      </c>
      <c r="D4" s="9"/>
      <c r="E4" s="18" t="s">
        <v>5</v>
      </c>
      <c r="F4" s="4" t="s">
        <v>3</v>
      </c>
      <c r="G4" s="4" t="s">
        <v>2</v>
      </c>
      <c r="H4" s="18" t="s">
        <v>15</v>
      </c>
      <c r="I4" s="4" t="s">
        <v>6</v>
      </c>
      <c r="J4" s="4" t="s">
        <v>7</v>
      </c>
      <c r="K4" s="4" t="s">
        <v>0</v>
      </c>
      <c r="L4" s="18" t="s">
        <v>18</v>
      </c>
      <c r="M4" s="4" t="str">
        <f xml:space="preserve"> "// header"&amp;CHAR(10)</f>
        <v xml:space="preserve">// header
</v>
      </c>
      <c r="N4" s="9" t="str">
        <f xml:space="preserve"> "// data"&amp;CHAR(10)</f>
        <v xml:space="preserve">// data
</v>
      </c>
      <c r="O4" s="9"/>
      <c r="P4" s="9" t="s">
        <v>19</v>
      </c>
    </row>
    <row r="5" spans="1:16" s="10" customFormat="1" ht="14.5" customHeight="1" x14ac:dyDescent="0.35">
      <c r="B5" s="14"/>
      <c r="C5" s="15"/>
      <c r="E5" s="20">
        <v>8.1999999999999993</v>
      </c>
      <c r="F5" s="8">
        <f>E5-(E5-E6)/2</f>
        <v>9.1</v>
      </c>
      <c r="G5" s="11">
        <f>F5/(2^$C$13)</f>
        <v>9.1</v>
      </c>
      <c r="H5" s="6">
        <f>IF(CEILING(LOG(G5+1,2),1)&lt;$C$8*8,$C$8*8,CEILING(LOG(G5+1,2),1))</f>
        <v>8</v>
      </c>
      <c r="I5" s="11">
        <f>G5/2^(H5-($C$8*8))</f>
        <v>9.1</v>
      </c>
      <c r="J5" s="16">
        <f>ROUND(I5,0)</f>
        <v>9</v>
      </c>
      <c r="K5" s="17">
        <f>I5/J5-1</f>
        <v>1.1111111111111072E-2</v>
      </c>
      <c r="L5" s="6">
        <f>IF($H4&lt;&gt;$H5,ROW($H5)-ROW($H$5),"")</f>
        <v>0</v>
      </c>
      <c r="M5" s="7" t="str">
        <f>IF(L5&lt;&gt;"",L5+COUNT(L:L)&amp;", ","")</f>
        <v xml:space="preserve">18, </v>
      </c>
      <c r="N5" s="19" t="str">
        <f>IF(J5&lt;&gt;"",J5-1&amp;", "&amp;IF($H5&lt;&gt;$H6,CHAR(10),""),256^$C$8-1&amp;CHAR(10))</f>
        <v xml:space="preserve">8, </v>
      </c>
      <c r="O5" s="19"/>
      <c r="P5" s="23" t="str">
        <f>"const __flash uint"&amp;$C$8*8&amp;"_t "&amp;"lut"&amp;$C$7*8&amp;"_"&amp;$C$6&amp;"["&amp;COUNT($J:$J)+1+COUNT($L:$L)&amp;"] ="&amp;CHAR(10)&amp;"{"&amp;CHAR(10)&amp;_xlfn.CONCAT($M:$M)&amp;CHAR(10)&amp;CHAR(10)&amp;_xlfn.CONCAT($N:$N)&amp;"};"</f>
        <v>const __flash uint8_t lut32_E12_10R10M[93] =
{
// header
18, 36, 39, 43, 47, 50, 54, 57, 61, 65, 68, 72, 76, 79, 83, 86, 90, 92, 
// data
8, 10, 13, 16, 19, 24, 29, 35, 42, 51, 61, 74, 90, 109, 134, 164, 199, 244, 
149, 179, 214, 
128, 154, 187, 227, 
137, 168, 205, 249, 
152, 187, 224, 
133, 160, 193, 233, 
141, 171, 210, 
128, 155, 190, 233, 
140, 167, 200, 241, 
145, 177, 214, 
131, 160, 194, 238, 
145, 175, 209, 250, 
150, 182, 221, 
133, 164, 200, 243, 
149, 182, 219, 
130, 156, 188, 228, 
138, 167, 
255
};</v>
      </c>
    </row>
    <row r="6" spans="1:16" s="2" customFormat="1" ht="14.5" customHeight="1" x14ac:dyDescent="0.35">
      <c r="A6" s="7"/>
      <c r="B6" s="3" t="s">
        <v>9</v>
      </c>
      <c r="C6" s="13" t="s">
        <v>21</v>
      </c>
      <c r="D6" s="7"/>
      <c r="E6" s="20">
        <v>10</v>
      </c>
      <c r="F6" s="8">
        <f>E6-(E6-E7)/2</f>
        <v>11</v>
      </c>
      <c r="G6" s="11">
        <f t="shared" ref="G6:G69" si="0">F6/(2^$C$13)</f>
        <v>11</v>
      </c>
      <c r="H6" s="6">
        <f t="shared" ref="H6:H69" si="1">IF(CEILING(LOG(G6+1,2),1)&lt;$C$8*8,$C$8*8,CEILING(LOG(G6+1,2),1))</f>
        <v>8</v>
      </c>
      <c r="I6" s="11">
        <f t="shared" ref="I6:I69" si="2">G6/2^(H6-($C$8*8))</f>
        <v>11</v>
      </c>
      <c r="J6" s="16">
        <f t="shared" ref="J6:J69" si="3">ROUND(I6,0)</f>
        <v>11</v>
      </c>
      <c r="K6" s="17">
        <f t="shared" ref="K6:K69" si="4">I6/J6-1</f>
        <v>0</v>
      </c>
      <c r="L6" s="6" t="str">
        <f t="shared" ref="L6:L69" si="5">IF($H5&lt;&gt;$H6,ROW($H6)-ROW($H$5),"")</f>
        <v/>
      </c>
      <c r="M6" s="7" t="str">
        <f>IF(L6&lt;&gt;"",L6+COUNT(L:L)&amp;", ","")</f>
        <v/>
      </c>
      <c r="N6" s="19" t="str">
        <f t="shared" ref="N6:N69" si="6">IF(J6&lt;&gt;"",J6-1&amp;", "&amp;IF($H6&lt;&gt;$H7,CHAR(10),""),256^$C$8-1&amp;CHAR(10))</f>
        <v xml:space="preserve">10, </v>
      </c>
      <c r="O6" s="19"/>
      <c r="P6" s="24"/>
    </row>
    <row r="7" spans="1:16" s="2" customFormat="1" x14ac:dyDescent="0.35">
      <c r="A7" s="7"/>
      <c r="B7" s="3" t="s">
        <v>13</v>
      </c>
      <c r="C7" s="13">
        <v>4</v>
      </c>
      <c r="D7" s="7"/>
      <c r="E7" s="20">
        <v>12</v>
      </c>
      <c r="F7" s="8">
        <f t="shared" ref="F7:F69" si="7">E7-(E7-E8)/2</f>
        <v>13.5</v>
      </c>
      <c r="G7" s="11">
        <f t="shared" si="0"/>
        <v>13.5</v>
      </c>
      <c r="H7" s="6">
        <f t="shared" si="1"/>
        <v>8</v>
      </c>
      <c r="I7" s="11">
        <f t="shared" si="2"/>
        <v>13.5</v>
      </c>
      <c r="J7" s="16">
        <f t="shared" si="3"/>
        <v>14</v>
      </c>
      <c r="K7" s="17">
        <f t="shared" si="4"/>
        <v>-3.5714285714285698E-2</v>
      </c>
      <c r="L7" s="6" t="str">
        <f t="shared" si="5"/>
        <v/>
      </c>
      <c r="M7" s="7" t="str">
        <f t="shared" ref="M7:M30" si="8">IF(L7&lt;&gt;"",L7+COUNT(L:L)&amp;", ","")</f>
        <v/>
      </c>
      <c r="N7" s="19" t="str">
        <f t="shared" si="6"/>
        <v xml:space="preserve">13, </v>
      </c>
      <c r="O7" s="19"/>
      <c r="P7" s="24"/>
    </row>
    <row r="8" spans="1:16" s="2" customFormat="1" x14ac:dyDescent="0.35">
      <c r="A8" s="7"/>
      <c r="B8" s="3" t="s">
        <v>10</v>
      </c>
      <c r="C8" s="13">
        <v>1</v>
      </c>
      <c r="D8" s="7"/>
      <c r="E8" s="20">
        <v>15</v>
      </c>
      <c r="F8" s="8">
        <f t="shared" si="7"/>
        <v>16.5</v>
      </c>
      <c r="G8" s="11">
        <f t="shared" si="0"/>
        <v>16.5</v>
      </c>
      <c r="H8" s="6">
        <f t="shared" si="1"/>
        <v>8</v>
      </c>
      <c r="I8" s="11">
        <f t="shared" si="2"/>
        <v>16.5</v>
      </c>
      <c r="J8" s="16">
        <f t="shared" si="3"/>
        <v>17</v>
      </c>
      <c r="K8" s="17">
        <f t="shared" si="4"/>
        <v>-2.9411764705882359E-2</v>
      </c>
      <c r="L8" s="6" t="str">
        <f t="shared" si="5"/>
        <v/>
      </c>
      <c r="M8" s="7" t="str">
        <f t="shared" si="8"/>
        <v/>
      </c>
      <c r="N8" s="19" t="str">
        <f t="shared" si="6"/>
        <v xml:space="preserve">16, </v>
      </c>
      <c r="O8" s="19"/>
      <c r="P8" s="24"/>
    </row>
    <row r="9" spans="1:16" s="2" customFormat="1" x14ac:dyDescent="0.35">
      <c r="A9" s="7"/>
      <c r="B9" s="3" t="s">
        <v>1</v>
      </c>
      <c r="C9" s="13" t="s">
        <v>16</v>
      </c>
      <c r="D9" s="7"/>
      <c r="E9" s="20">
        <v>18</v>
      </c>
      <c r="F9" s="8">
        <f t="shared" si="7"/>
        <v>20</v>
      </c>
      <c r="G9" s="11">
        <f t="shared" si="0"/>
        <v>20</v>
      </c>
      <c r="H9" s="6">
        <f t="shared" si="1"/>
        <v>8</v>
      </c>
      <c r="I9" s="11">
        <f t="shared" si="2"/>
        <v>20</v>
      </c>
      <c r="J9" s="16">
        <f t="shared" si="3"/>
        <v>20</v>
      </c>
      <c r="K9" s="17">
        <f t="shared" si="4"/>
        <v>0</v>
      </c>
      <c r="L9" s="6" t="str">
        <f t="shared" si="5"/>
        <v/>
      </c>
      <c r="M9" s="7" t="str">
        <f t="shared" si="8"/>
        <v/>
      </c>
      <c r="N9" s="19" t="str">
        <f t="shared" si="6"/>
        <v xml:space="preserve">19, </v>
      </c>
      <c r="O9" s="19"/>
      <c r="P9" s="24"/>
    </row>
    <row r="10" spans="1:16" s="2" customFormat="1" x14ac:dyDescent="0.35">
      <c r="A10" s="7"/>
      <c r="B10" s="3"/>
      <c r="C10" s="7"/>
      <c r="D10" s="7"/>
      <c r="E10" s="20">
        <v>22</v>
      </c>
      <c r="F10" s="8">
        <f t="shared" si="7"/>
        <v>24.5</v>
      </c>
      <c r="G10" s="11">
        <f t="shared" si="0"/>
        <v>24.5</v>
      </c>
      <c r="H10" s="6">
        <f t="shared" si="1"/>
        <v>8</v>
      </c>
      <c r="I10" s="11">
        <f t="shared" si="2"/>
        <v>24.5</v>
      </c>
      <c r="J10" s="16">
        <f t="shared" si="3"/>
        <v>25</v>
      </c>
      <c r="K10" s="17">
        <f t="shared" si="4"/>
        <v>-2.0000000000000018E-2</v>
      </c>
      <c r="L10" s="6" t="str">
        <f t="shared" si="5"/>
        <v/>
      </c>
      <c r="M10" s="7" t="str">
        <f t="shared" si="8"/>
        <v/>
      </c>
      <c r="N10" s="19" t="str">
        <f t="shared" si="6"/>
        <v xml:space="preserve">24, </v>
      </c>
      <c r="O10" s="19"/>
      <c r="P10" s="24"/>
    </row>
    <row r="11" spans="1:16" s="2" customFormat="1" x14ac:dyDescent="0.35">
      <c r="A11" s="7"/>
      <c r="B11" s="3"/>
      <c r="C11" s="7"/>
      <c r="D11" s="7"/>
      <c r="E11" s="20">
        <v>27</v>
      </c>
      <c r="F11" s="8">
        <f t="shared" si="7"/>
        <v>30</v>
      </c>
      <c r="G11" s="11">
        <f t="shared" si="0"/>
        <v>30</v>
      </c>
      <c r="H11" s="6">
        <f t="shared" si="1"/>
        <v>8</v>
      </c>
      <c r="I11" s="11">
        <f t="shared" si="2"/>
        <v>30</v>
      </c>
      <c r="J11" s="16">
        <f t="shared" si="3"/>
        <v>30</v>
      </c>
      <c r="K11" s="17">
        <f t="shared" si="4"/>
        <v>0</v>
      </c>
      <c r="L11" s="6" t="str">
        <f t="shared" si="5"/>
        <v/>
      </c>
      <c r="M11" s="7" t="str">
        <f t="shared" si="8"/>
        <v/>
      </c>
      <c r="N11" s="19" t="str">
        <f t="shared" si="6"/>
        <v xml:space="preserve">29, </v>
      </c>
      <c r="O11" s="19"/>
      <c r="P11" s="24"/>
    </row>
    <row r="12" spans="1:16" s="2" customFormat="1" x14ac:dyDescent="0.35">
      <c r="A12" s="7"/>
      <c r="B12" s="22" t="s">
        <v>17</v>
      </c>
      <c r="C12" s="22"/>
      <c r="D12" s="7"/>
      <c r="E12" s="20">
        <v>33</v>
      </c>
      <c r="F12" s="8">
        <f t="shared" si="7"/>
        <v>36</v>
      </c>
      <c r="G12" s="11">
        <f t="shared" si="0"/>
        <v>36</v>
      </c>
      <c r="H12" s="6">
        <f t="shared" si="1"/>
        <v>8</v>
      </c>
      <c r="I12" s="11">
        <f t="shared" si="2"/>
        <v>36</v>
      </c>
      <c r="J12" s="16">
        <f t="shared" si="3"/>
        <v>36</v>
      </c>
      <c r="K12" s="17">
        <f t="shared" si="4"/>
        <v>0</v>
      </c>
      <c r="L12" s="6" t="str">
        <f t="shared" si="5"/>
        <v/>
      </c>
      <c r="M12" s="7" t="str">
        <f t="shared" si="8"/>
        <v/>
      </c>
      <c r="N12" s="19" t="str">
        <f t="shared" si="6"/>
        <v xml:space="preserve">35, </v>
      </c>
      <c r="O12" s="19"/>
      <c r="P12" s="24"/>
    </row>
    <row r="13" spans="1:16" s="2" customFormat="1" x14ac:dyDescent="0.35">
      <c r="A13" s="7"/>
      <c r="B13" s="3" t="s">
        <v>1</v>
      </c>
      <c r="C13" s="12">
        <f>IF($C$9&lt;&gt;"auto",$C$9,IF(CEILING(LOG(MAX($F:$F),2),1)-$C$7*8&lt;0,0,CEILING(LOG(MAX($F:$F),2),1)-$C$7*8))</f>
        <v>0</v>
      </c>
      <c r="D13" s="7"/>
      <c r="E13" s="20">
        <v>39</v>
      </c>
      <c r="F13" s="8">
        <f t="shared" si="7"/>
        <v>43</v>
      </c>
      <c r="G13" s="11">
        <f t="shared" si="0"/>
        <v>43</v>
      </c>
      <c r="H13" s="6">
        <f t="shared" si="1"/>
        <v>8</v>
      </c>
      <c r="I13" s="11">
        <f t="shared" si="2"/>
        <v>43</v>
      </c>
      <c r="J13" s="16">
        <f t="shared" si="3"/>
        <v>43</v>
      </c>
      <c r="K13" s="17">
        <f t="shared" si="4"/>
        <v>0</v>
      </c>
      <c r="L13" s="6" t="str">
        <f t="shared" si="5"/>
        <v/>
      </c>
      <c r="M13" s="7" t="str">
        <f t="shared" si="8"/>
        <v/>
      </c>
      <c r="N13" s="19" t="str">
        <f t="shared" si="6"/>
        <v xml:space="preserve">42, </v>
      </c>
      <c r="O13" s="19"/>
      <c r="P13" s="24"/>
    </row>
    <row r="14" spans="1:16" s="2" customFormat="1" x14ac:dyDescent="0.35">
      <c r="A14" s="7"/>
      <c r="B14" s="3"/>
      <c r="C14" s="7"/>
      <c r="D14" s="7"/>
      <c r="E14" s="20">
        <v>47</v>
      </c>
      <c r="F14" s="8">
        <f t="shared" si="7"/>
        <v>51.5</v>
      </c>
      <c r="G14" s="11">
        <f t="shared" si="0"/>
        <v>51.5</v>
      </c>
      <c r="H14" s="6">
        <f t="shared" si="1"/>
        <v>8</v>
      </c>
      <c r="I14" s="11">
        <f t="shared" si="2"/>
        <v>51.5</v>
      </c>
      <c r="J14" s="16">
        <f t="shared" si="3"/>
        <v>52</v>
      </c>
      <c r="K14" s="17">
        <f t="shared" si="4"/>
        <v>-9.6153846153845812E-3</v>
      </c>
      <c r="L14" s="6" t="str">
        <f t="shared" si="5"/>
        <v/>
      </c>
      <c r="M14" s="7" t="str">
        <f t="shared" si="8"/>
        <v/>
      </c>
      <c r="N14" s="19" t="str">
        <f t="shared" si="6"/>
        <v xml:space="preserve">51, </v>
      </c>
      <c r="O14" s="19"/>
      <c r="P14" s="24"/>
    </row>
    <row r="15" spans="1:16" s="2" customFormat="1" x14ac:dyDescent="0.35">
      <c r="A15" s="7"/>
      <c r="B15" s="22" t="s">
        <v>20</v>
      </c>
      <c r="C15" s="22"/>
      <c r="D15" s="7"/>
      <c r="E15" s="20">
        <v>56</v>
      </c>
      <c r="F15" s="8">
        <f t="shared" si="7"/>
        <v>62</v>
      </c>
      <c r="G15" s="11">
        <f t="shared" si="0"/>
        <v>62</v>
      </c>
      <c r="H15" s="6">
        <f t="shared" si="1"/>
        <v>8</v>
      </c>
      <c r="I15" s="11">
        <f t="shared" si="2"/>
        <v>62</v>
      </c>
      <c r="J15" s="16">
        <f t="shared" si="3"/>
        <v>62</v>
      </c>
      <c r="K15" s="17">
        <f t="shared" si="4"/>
        <v>0</v>
      </c>
      <c r="L15" s="6" t="str">
        <f t="shared" si="5"/>
        <v/>
      </c>
      <c r="M15" s="7" t="str">
        <f t="shared" si="8"/>
        <v/>
      </c>
      <c r="N15" s="19" t="str">
        <f t="shared" si="6"/>
        <v xml:space="preserve">61, </v>
      </c>
      <c r="O15" s="19"/>
      <c r="P15" s="24"/>
    </row>
    <row r="16" spans="1:16" s="2" customFormat="1" x14ac:dyDescent="0.35">
      <c r="A16" s="7"/>
      <c r="B16" s="25" t="str">
        <f>$P$5</f>
        <v>const __flash uint8_t lut32_E12_10R10M[93] =
{
// header
18, 36, 39, 43, 47, 50, 54, 57, 61, 65, 68, 72, 76, 79, 83, 86, 90, 92, 
// data
8, 10, 13, 16, 19, 24, 29, 35, 42, 51, 61, 74, 90, 109, 134, 164, 199, 244, 
149, 179, 214, 
128, 154, 187, 227, 
137, 168, 205, 249, 
152, 187, 224, 
133, 160, 193, 233, 
141, 171, 210, 
128, 155, 190, 233, 
140, 167, 200, 241, 
145, 177, 214, 
131, 160, 194, 238, 
145, 175, 209, 250, 
150, 182, 221, 
133, 164, 200, 243, 
149, 182, 219, 
130, 156, 188, 228, 
138, 167, 
255
};</v>
      </c>
      <c r="C16" s="25"/>
      <c r="D16" s="7"/>
      <c r="E16" s="20">
        <v>68</v>
      </c>
      <c r="F16" s="8">
        <f t="shared" si="7"/>
        <v>75</v>
      </c>
      <c r="G16" s="11">
        <f t="shared" si="0"/>
        <v>75</v>
      </c>
      <c r="H16" s="6">
        <f t="shared" si="1"/>
        <v>8</v>
      </c>
      <c r="I16" s="11">
        <f t="shared" si="2"/>
        <v>75</v>
      </c>
      <c r="J16" s="16">
        <f t="shared" si="3"/>
        <v>75</v>
      </c>
      <c r="K16" s="17">
        <f t="shared" si="4"/>
        <v>0</v>
      </c>
      <c r="L16" s="6" t="str">
        <f t="shared" si="5"/>
        <v/>
      </c>
      <c r="M16" s="7" t="str">
        <f t="shared" si="8"/>
        <v/>
      </c>
      <c r="N16" s="19" t="str">
        <f t="shared" si="6"/>
        <v xml:space="preserve">74, </v>
      </c>
      <c r="O16" s="19"/>
      <c r="P16" s="24"/>
    </row>
    <row r="17" spans="1:16" s="2" customFormat="1" x14ac:dyDescent="0.35">
      <c r="A17" s="7"/>
      <c r="B17" s="3"/>
      <c r="C17" s="7"/>
      <c r="D17" s="7"/>
      <c r="E17" s="20">
        <v>82</v>
      </c>
      <c r="F17" s="8">
        <f t="shared" si="7"/>
        <v>91</v>
      </c>
      <c r="G17" s="11">
        <f t="shared" si="0"/>
        <v>91</v>
      </c>
      <c r="H17" s="6">
        <f t="shared" si="1"/>
        <v>8</v>
      </c>
      <c r="I17" s="11">
        <f t="shared" si="2"/>
        <v>91</v>
      </c>
      <c r="J17" s="16">
        <f t="shared" si="3"/>
        <v>91</v>
      </c>
      <c r="K17" s="17">
        <f t="shared" si="4"/>
        <v>0</v>
      </c>
      <c r="L17" s="6" t="str">
        <f t="shared" si="5"/>
        <v/>
      </c>
      <c r="M17" s="7" t="str">
        <f t="shared" si="8"/>
        <v/>
      </c>
      <c r="N17" s="19" t="str">
        <f t="shared" si="6"/>
        <v xml:space="preserve">90, </v>
      </c>
      <c r="O17" s="19"/>
      <c r="P17" s="24"/>
    </row>
    <row r="18" spans="1:16" s="2" customFormat="1" x14ac:dyDescent="0.35">
      <c r="A18" s="7"/>
      <c r="B18" s="3"/>
      <c r="C18" s="7"/>
      <c r="D18" s="7"/>
      <c r="E18" s="20">
        <v>100</v>
      </c>
      <c r="F18" s="8">
        <f t="shared" si="7"/>
        <v>110</v>
      </c>
      <c r="G18" s="11">
        <f t="shared" si="0"/>
        <v>110</v>
      </c>
      <c r="H18" s="6">
        <f t="shared" si="1"/>
        <v>8</v>
      </c>
      <c r="I18" s="11">
        <f t="shared" si="2"/>
        <v>110</v>
      </c>
      <c r="J18" s="16">
        <f t="shared" si="3"/>
        <v>110</v>
      </c>
      <c r="K18" s="17">
        <f t="shared" si="4"/>
        <v>0</v>
      </c>
      <c r="L18" s="6" t="str">
        <f t="shared" si="5"/>
        <v/>
      </c>
      <c r="M18" s="7" t="str">
        <f t="shared" si="8"/>
        <v/>
      </c>
      <c r="N18" s="19" t="str">
        <f t="shared" si="6"/>
        <v xml:space="preserve">109, </v>
      </c>
      <c r="O18" s="19"/>
      <c r="P18" s="24"/>
    </row>
    <row r="19" spans="1:16" s="2" customFormat="1" ht="14.5" customHeight="1" x14ac:dyDescent="0.35">
      <c r="A19" s="7"/>
      <c r="B19" s="3"/>
      <c r="C19" s="7"/>
      <c r="D19" s="7"/>
      <c r="E19" s="20">
        <v>120</v>
      </c>
      <c r="F19" s="8">
        <f t="shared" si="7"/>
        <v>135</v>
      </c>
      <c r="G19" s="11">
        <f t="shared" si="0"/>
        <v>135</v>
      </c>
      <c r="H19" s="6">
        <f t="shared" si="1"/>
        <v>8</v>
      </c>
      <c r="I19" s="11">
        <f t="shared" si="2"/>
        <v>135</v>
      </c>
      <c r="J19" s="16">
        <f t="shared" si="3"/>
        <v>135</v>
      </c>
      <c r="K19" s="17">
        <f t="shared" si="4"/>
        <v>0</v>
      </c>
      <c r="L19" s="6" t="str">
        <f t="shared" si="5"/>
        <v/>
      </c>
      <c r="M19" s="7" t="str">
        <f t="shared" si="8"/>
        <v/>
      </c>
      <c r="N19" s="19" t="str">
        <f t="shared" si="6"/>
        <v xml:space="preserve">134, </v>
      </c>
      <c r="O19" s="19"/>
      <c r="P19" s="24"/>
    </row>
    <row r="20" spans="1:16" s="2" customFormat="1" x14ac:dyDescent="0.35">
      <c r="A20" s="7"/>
      <c r="B20" s="3"/>
      <c r="C20" s="7"/>
      <c r="D20" s="7"/>
      <c r="E20" s="20">
        <v>150</v>
      </c>
      <c r="F20" s="8">
        <f t="shared" si="7"/>
        <v>165</v>
      </c>
      <c r="G20" s="11">
        <f t="shared" si="0"/>
        <v>165</v>
      </c>
      <c r="H20" s="6">
        <f t="shared" si="1"/>
        <v>8</v>
      </c>
      <c r="I20" s="11">
        <f t="shared" si="2"/>
        <v>165</v>
      </c>
      <c r="J20" s="16">
        <f t="shared" si="3"/>
        <v>165</v>
      </c>
      <c r="K20" s="17">
        <f t="shared" si="4"/>
        <v>0</v>
      </c>
      <c r="L20" s="6" t="str">
        <f t="shared" si="5"/>
        <v/>
      </c>
      <c r="M20" s="7" t="str">
        <f t="shared" si="8"/>
        <v/>
      </c>
      <c r="N20" s="19" t="str">
        <f t="shared" si="6"/>
        <v xml:space="preserve">164, </v>
      </c>
      <c r="O20" s="19"/>
      <c r="P20" s="24"/>
    </row>
    <row r="21" spans="1:16" s="2" customFormat="1" x14ac:dyDescent="0.35">
      <c r="A21" s="7"/>
      <c r="B21" s="3"/>
      <c r="C21" s="7"/>
      <c r="D21" s="7"/>
      <c r="E21" s="20">
        <v>180</v>
      </c>
      <c r="F21" s="8">
        <f t="shared" si="7"/>
        <v>200</v>
      </c>
      <c r="G21" s="11">
        <f t="shared" si="0"/>
        <v>200</v>
      </c>
      <c r="H21" s="6">
        <f t="shared" si="1"/>
        <v>8</v>
      </c>
      <c r="I21" s="11">
        <f t="shared" si="2"/>
        <v>200</v>
      </c>
      <c r="J21" s="16">
        <f t="shared" si="3"/>
        <v>200</v>
      </c>
      <c r="K21" s="17">
        <f t="shared" si="4"/>
        <v>0</v>
      </c>
      <c r="L21" s="6" t="str">
        <f t="shared" si="5"/>
        <v/>
      </c>
      <c r="M21" s="7" t="str">
        <f t="shared" si="8"/>
        <v/>
      </c>
      <c r="N21" s="19" t="str">
        <f t="shared" si="6"/>
        <v xml:space="preserve">199, </v>
      </c>
      <c r="O21" s="19"/>
      <c r="P21" s="24"/>
    </row>
    <row r="22" spans="1:16" s="2" customFormat="1" x14ac:dyDescent="0.35">
      <c r="A22" s="7"/>
      <c r="B22" s="3"/>
      <c r="C22" s="7"/>
      <c r="D22" s="7"/>
      <c r="E22" s="20">
        <v>220</v>
      </c>
      <c r="F22" s="8">
        <f t="shared" si="7"/>
        <v>245</v>
      </c>
      <c r="G22" s="11">
        <f t="shared" si="0"/>
        <v>245</v>
      </c>
      <c r="H22" s="6">
        <f t="shared" si="1"/>
        <v>8</v>
      </c>
      <c r="I22" s="11">
        <f t="shared" si="2"/>
        <v>245</v>
      </c>
      <c r="J22" s="16">
        <f t="shared" si="3"/>
        <v>245</v>
      </c>
      <c r="K22" s="17">
        <f t="shared" si="4"/>
        <v>0</v>
      </c>
      <c r="L22" s="6" t="str">
        <f t="shared" si="5"/>
        <v/>
      </c>
      <c r="M22" s="7" t="str">
        <f t="shared" si="8"/>
        <v/>
      </c>
      <c r="N22" s="19" t="str">
        <f t="shared" si="6"/>
        <v xml:space="preserve">244, 
</v>
      </c>
      <c r="O22" s="19"/>
      <c r="P22" s="24"/>
    </row>
    <row r="23" spans="1:16" s="2" customFormat="1" x14ac:dyDescent="0.35">
      <c r="A23" s="7"/>
      <c r="B23" s="3"/>
      <c r="C23" s="7"/>
      <c r="D23" s="7"/>
      <c r="E23" s="20">
        <v>270</v>
      </c>
      <c r="F23" s="8">
        <f t="shared" si="7"/>
        <v>300</v>
      </c>
      <c r="G23" s="11">
        <f t="shared" si="0"/>
        <v>300</v>
      </c>
      <c r="H23" s="6">
        <f t="shared" si="1"/>
        <v>9</v>
      </c>
      <c r="I23" s="11">
        <f t="shared" si="2"/>
        <v>150</v>
      </c>
      <c r="J23" s="16">
        <f t="shared" si="3"/>
        <v>150</v>
      </c>
      <c r="K23" s="17">
        <f t="shared" si="4"/>
        <v>0</v>
      </c>
      <c r="L23" s="6">
        <f t="shared" si="5"/>
        <v>18</v>
      </c>
      <c r="M23" s="7" t="str">
        <f t="shared" si="8"/>
        <v xml:space="preserve">36, </v>
      </c>
      <c r="N23" s="19" t="str">
        <f t="shared" si="6"/>
        <v xml:space="preserve">149, </v>
      </c>
      <c r="O23" s="19"/>
      <c r="P23" s="24"/>
    </row>
    <row r="24" spans="1:16" s="2" customFormat="1" x14ac:dyDescent="0.35">
      <c r="A24" s="7"/>
      <c r="B24" s="3"/>
      <c r="C24" s="7"/>
      <c r="D24" s="7"/>
      <c r="E24" s="20">
        <v>330</v>
      </c>
      <c r="F24" s="8">
        <f t="shared" si="7"/>
        <v>360</v>
      </c>
      <c r="G24" s="11">
        <f t="shared" si="0"/>
        <v>360</v>
      </c>
      <c r="H24" s="6">
        <f t="shared" si="1"/>
        <v>9</v>
      </c>
      <c r="I24" s="11">
        <f t="shared" si="2"/>
        <v>180</v>
      </c>
      <c r="J24" s="16">
        <f t="shared" si="3"/>
        <v>180</v>
      </c>
      <c r="K24" s="17">
        <f t="shared" si="4"/>
        <v>0</v>
      </c>
      <c r="L24" s="6" t="str">
        <f t="shared" si="5"/>
        <v/>
      </c>
      <c r="M24" s="7" t="str">
        <f t="shared" si="8"/>
        <v/>
      </c>
      <c r="N24" s="19" t="str">
        <f t="shared" si="6"/>
        <v xml:space="preserve">179, </v>
      </c>
      <c r="O24" s="19"/>
      <c r="P24" s="24"/>
    </row>
    <row r="25" spans="1:16" s="2" customFormat="1" x14ac:dyDescent="0.35">
      <c r="A25" s="7"/>
      <c r="B25" s="3"/>
      <c r="C25" s="7"/>
      <c r="D25" s="7"/>
      <c r="E25" s="20">
        <v>390</v>
      </c>
      <c r="F25" s="8">
        <f t="shared" si="7"/>
        <v>430</v>
      </c>
      <c r="G25" s="11">
        <f t="shared" si="0"/>
        <v>430</v>
      </c>
      <c r="H25" s="6">
        <f t="shared" si="1"/>
        <v>9</v>
      </c>
      <c r="I25" s="11">
        <f t="shared" si="2"/>
        <v>215</v>
      </c>
      <c r="J25" s="16">
        <f t="shared" si="3"/>
        <v>215</v>
      </c>
      <c r="K25" s="17">
        <f t="shared" si="4"/>
        <v>0</v>
      </c>
      <c r="L25" s="6" t="str">
        <f t="shared" si="5"/>
        <v/>
      </c>
      <c r="M25" s="7" t="str">
        <f t="shared" si="8"/>
        <v/>
      </c>
      <c r="N25" s="19" t="str">
        <f t="shared" si="6"/>
        <v xml:space="preserve">214, 
</v>
      </c>
      <c r="O25" s="19"/>
      <c r="P25" s="24"/>
    </row>
    <row r="26" spans="1:16" s="2" customFormat="1" x14ac:dyDescent="0.35">
      <c r="A26" s="7"/>
      <c r="B26" s="3"/>
      <c r="C26" s="7"/>
      <c r="D26" s="7"/>
      <c r="E26" s="20">
        <v>470</v>
      </c>
      <c r="F26" s="8">
        <f t="shared" si="7"/>
        <v>515</v>
      </c>
      <c r="G26" s="11">
        <f t="shared" si="0"/>
        <v>515</v>
      </c>
      <c r="H26" s="6">
        <f t="shared" si="1"/>
        <v>10</v>
      </c>
      <c r="I26" s="11">
        <f t="shared" si="2"/>
        <v>128.75</v>
      </c>
      <c r="J26" s="16">
        <f t="shared" si="3"/>
        <v>129</v>
      </c>
      <c r="K26" s="17">
        <f t="shared" si="4"/>
        <v>-1.9379844961240345E-3</v>
      </c>
      <c r="L26" s="6">
        <f t="shared" si="5"/>
        <v>21</v>
      </c>
      <c r="M26" s="7" t="str">
        <f t="shared" si="8"/>
        <v xml:space="preserve">39, </v>
      </c>
      <c r="N26" s="19" t="str">
        <f t="shared" si="6"/>
        <v xml:space="preserve">128, </v>
      </c>
      <c r="O26" s="19"/>
      <c r="P26" s="24"/>
    </row>
    <row r="27" spans="1:16" s="2" customFormat="1" x14ac:dyDescent="0.35">
      <c r="A27" s="7"/>
      <c r="B27" s="3"/>
      <c r="C27" s="7"/>
      <c r="D27" s="7"/>
      <c r="E27" s="20">
        <v>560</v>
      </c>
      <c r="F27" s="8">
        <f t="shared" si="7"/>
        <v>620</v>
      </c>
      <c r="G27" s="11">
        <f t="shared" si="0"/>
        <v>620</v>
      </c>
      <c r="H27" s="6">
        <f t="shared" si="1"/>
        <v>10</v>
      </c>
      <c r="I27" s="11">
        <f t="shared" si="2"/>
        <v>155</v>
      </c>
      <c r="J27" s="16">
        <f t="shared" si="3"/>
        <v>155</v>
      </c>
      <c r="K27" s="17">
        <f t="shared" si="4"/>
        <v>0</v>
      </c>
      <c r="L27" s="6" t="str">
        <f t="shared" si="5"/>
        <v/>
      </c>
      <c r="M27" s="7" t="str">
        <f t="shared" si="8"/>
        <v/>
      </c>
      <c r="N27" s="19" t="str">
        <f t="shared" si="6"/>
        <v xml:space="preserve">154, </v>
      </c>
      <c r="O27" s="19"/>
      <c r="P27" s="24"/>
    </row>
    <row r="28" spans="1:16" s="2" customFormat="1" x14ac:dyDescent="0.35">
      <c r="A28" s="7"/>
      <c r="B28" s="3"/>
      <c r="C28" s="7"/>
      <c r="D28" s="7"/>
      <c r="E28" s="20">
        <v>680</v>
      </c>
      <c r="F28" s="8">
        <f t="shared" si="7"/>
        <v>750</v>
      </c>
      <c r="G28" s="11">
        <f t="shared" si="0"/>
        <v>750</v>
      </c>
      <c r="H28" s="6">
        <f t="shared" si="1"/>
        <v>10</v>
      </c>
      <c r="I28" s="11">
        <f t="shared" si="2"/>
        <v>187.5</v>
      </c>
      <c r="J28" s="16">
        <f t="shared" si="3"/>
        <v>188</v>
      </c>
      <c r="K28" s="17">
        <f t="shared" si="4"/>
        <v>-2.6595744680850686E-3</v>
      </c>
      <c r="L28" s="6" t="str">
        <f t="shared" si="5"/>
        <v/>
      </c>
      <c r="M28" s="7" t="str">
        <f t="shared" si="8"/>
        <v/>
      </c>
      <c r="N28" s="19" t="str">
        <f t="shared" si="6"/>
        <v xml:space="preserve">187, </v>
      </c>
      <c r="O28" s="19"/>
      <c r="P28" s="24"/>
    </row>
    <row r="29" spans="1:16" s="2" customFormat="1" x14ac:dyDescent="0.35">
      <c r="A29" s="7"/>
      <c r="B29" s="3"/>
      <c r="C29" s="7"/>
      <c r="D29" s="7"/>
      <c r="E29" s="20">
        <v>820</v>
      </c>
      <c r="F29" s="8">
        <f t="shared" si="7"/>
        <v>910</v>
      </c>
      <c r="G29" s="11">
        <f t="shared" si="0"/>
        <v>910</v>
      </c>
      <c r="H29" s="6">
        <f t="shared" si="1"/>
        <v>10</v>
      </c>
      <c r="I29" s="11">
        <f t="shared" si="2"/>
        <v>227.5</v>
      </c>
      <c r="J29" s="16">
        <f t="shared" si="3"/>
        <v>228</v>
      </c>
      <c r="K29" s="17">
        <f t="shared" si="4"/>
        <v>-2.1929824561403022E-3</v>
      </c>
      <c r="L29" s="6" t="str">
        <f t="shared" si="5"/>
        <v/>
      </c>
      <c r="M29" s="7" t="str">
        <f t="shared" si="8"/>
        <v/>
      </c>
      <c r="N29" s="19" t="str">
        <f t="shared" si="6"/>
        <v xml:space="preserve">227, 
</v>
      </c>
      <c r="O29" s="19"/>
      <c r="P29" s="24"/>
    </row>
    <row r="30" spans="1:16" s="2" customFormat="1" x14ac:dyDescent="0.35">
      <c r="A30" s="7"/>
      <c r="B30" s="3"/>
      <c r="C30" s="7"/>
      <c r="D30" s="7"/>
      <c r="E30" s="20">
        <v>1000</v>
      </c>
      <c r="F30" s="8">
        <f t="shared" si="7"/>
        <v>1100</v>
      </c>
      <c r="G30" s="11">
        <f t="shared" si="0"/>
        <v>1100</v>
      </c>
      <c r="H30" s="6">
        <f t="shared" si="1"/>
        <v>11</v>
      </c>
      <c r="I30" s="11">
        <f t="shared" si="2"/>
        <v>137.5</v>
      </c>
      <c r="J30" s="16">
        <f t="shared" si="3"/>
        <v>138</v>
      </c>
      <c r="K30" s="17">
        <f t="shared" si="4"/>
        <v>-3.6231884057971175E-3</v>
      </c>
      <c r="L30" s="6">
        <f t="shared" si="5"/>
        <v>25</v>
      </c>
      <c r="M30" s="7" t="str">
        <f t="shared" si="8"/>
        <v xml:space="preserve">43, </v>
      </c>
      <c r="N30" s="19" t="str">
        <f t="shared" si="6"/>
        <v xml:space="preserve">137, </v>
      </c>
      <c r="O30" s="19"/>
      <c r="P30" s="24"/>
    </row>
    <row r="31" spans="1:16" s="2" customFormat="1" x14ac:dyDescent="0.35">
      <c r="A31" s="7"/>
      <c r="B31" s="3"/>
      <c r="C31" s="7"/>
      <c r="D31" s="7"/>
      <c r="E31" s="20">
        <v>1200</v>
      </c>
      <c r="F31" s="8">
        <f t="shared" si="7"/>
        <v>1350</v>
      </c>
      <c r="G31" s="11">
        <f t="shared" si="0"/>
        <v>1350</v>
      </c>
      <c r="H31" s="6">
        <f t="shared" si="1"/>
        <v>11</v>
      </c>
      <c r="I31" s="11">
        <f t="shared" si="2"/>
        <v>168.75</v>
      </c>
      <c r="J31" s="16">
        <f t="shared" si="3"/>
        <v>169</v>
      </c>
      <c r="K31" s="17">
        <f t="shared" si="4"/>
        <v>-1.4792899408283544E-3</v>
      </c>
      <c r="L31" s="6" t="str">
        <f>IF($H30&lt;&gt;$H31,ROW($H31)-ROW($H$5),"")</f>
        <v/>
      </c>
      <c r="M31" s="7" t="str">
        <f t="shared" ref="M31:M62" si="9">IF(L31&lt;&gt;"",L31+COUNT(L:L)&amp;", ","")</f>
        <v/>
      </c>
      <c r="N31" s="19" t="str">
        <f t="shared" si="6"/>
        <v xml:space="preserve">168, </v>
      </c>
      <c r="O31" s="19"/>
      <c r="P31" s="24"/>
    </row>
    <row r="32" spans="1:16" s="2" customFormat="1" x14ac:dyDescent="0.35">
      <c r="A32" s="7"/>
      <c r="B32" s="3"/>
      <c r="C32" s="7"/>
      <c r="D32" s="7"/>
      <c r="E32" s="20">
        <v>1500</v>
      </c>
      <c r="F32" s="8">
        <f t="shared" si="7"/>
        <v>1650</v>
      </c>
      <c r="G32" s="11">
        <f t="shared" si="0"/>
        <v>1650</v>
      </c>
      <c r="H32" s="6">
        <f t="shared" si="1"/>
        <v>11</v>
      </c>
      <c r="I32" s="11">
        <f t="shared" si="2"/>
        <v>206.25</v>
      </c>
      <c r="J32" s="16">
        <f t="shared" si="3"/>
        <v>206</v>
      </c>
      <c r="K32" s="17">
        <f t="shared" si="4"/>
        <v>1.2135922330096527E-3</v>
      </c>
      <c r="L32" s="6" t="str">
        <f t="shared" si="5"/>
        <v/>
      </c>
      <c r="M32" s="7" t="str">
        <f t="shared" si="9"/>
        <v/>
      </c>
      <c r="N32" s="19" t="str">
        <f t="shared" si="6"/>
        <v xml:space="preserve">205, </v>
      </c>
      <c r="O32" s="19"/>
      <c r="P32" s="24"/>
    </row>
    <row r="33" spans="1:18" s="2" customFormat="1" x14ac:dyDescent="0.35">
      <c r="A33" s="7"/>
      <c r="B33" s="3"/>
      <c r="C33" s="7"/>
      <c r="D33" s="7"/>
      <c r="E33" s="20">
        <v>1800</v>
      </c>
      <c r="F33" s="8">
        <f t="shared" si="7"/>
        <v>2000</v>
      </c>
      <c r="G33" s="11">
        <f t="shared" si="0"/>
        <v>2000</v>
      </c>
      <c r="H33" s="6">
        <f t="shared" si="1"/>
        <v>11</v>
      </c>
      <c r="I33" s="11">
        <f t="shared" si="2"/>
        <v>250</v>
      </c>
      <c r="J33" s="16">
        <f t="shared" si="3"/>
        <v>250</v>
      </c>
      <c r="K33" s="17">
        <f t="shared" si="4"/>
        <v>0</v>
      </c>
      <c r="L33" s="6" t="str">
        <f t="shared" si="5"/>
        <v/>
      </c>
      <c r="M33" s="7" t="str">
        <f t="shared" si="9"/>
        <v/>
      </c>
      <c r="N33" s="19" t="str">
        <f t="shared" si="6"/>
        <v xml:space="preserve">249, 
</v>
      </c>
      <c r="O33" s="19"/>
      <c r="P33" s="24"/>
      <c r="R33" s="21"/>
    </row>
    <row r="34" spans="1:18" s="2" customFormat="1" x14ac:dyDescent="0.35">
      <c r="A34" s="6"/>
      <c r="B34" s="3"/>
      <c r="C34" s="7"/>
      <c r="D34" s="7"/>
      <c r="E34" s="20">
        <v>2200</v>
      </c>
      <c r="F34" s="8">
        <f t="shared" si="7"/>
        <v>2450</v>
      </c>
      <c r="G34" s="11">
        <f t="shared" si="0"/>
        <v>2450</v>
      </c>
      <c r="H34" s="6">
        <f t="shared" si="1"/>
        <v>12</v>
      </c>
      <c r="I34" s="11">
        <f t="shared" si="2"/>
        <v>153.125</v>
      </c>
      <c r="J34" s="16">
        <f t="shared" si="3"/>
        <v>153</v>
      </c>
      <c r="K34" s="17">
        <f t="shared" si="4"/>
        <v>8.1699346405228468E-4</v>
      </c>
      <c r="L34" s="6">
        <f t="shared" si="5"/>
        <v>29</v>
      </c>
      <c r="M34" s="7" t="str">
        <f t="shared" si="9"/>
        <v xml:space="preserve">47, </v>
      </c>
      <c r="N34" s="19" t="str">
        <f t="shared" si="6"/>
        <v xml:space="preserve">152, </v>
      </c>
      <c r="O34" s="19"/>
      <c r="P34" s="24"/>
    </row>
    <row r="35" spans="1:18" s="2" customFormat="1" x14ac:dyDescent="0.35">
      <c r="A35" s="6"/>
      <c r="B35" s="3"/>
      <c r="C35" s="7"/>
      <c r="D35" s="7"/>
      <c r="E35" s="20">
        <v>2700</v>
      </c>
      <c r="F35" s="8">
        <f t="shared" si="7"/>
        <v>3000</v>
      </c>
      <c r="G35" s="11">
        <f t="shared" si="0"/>
        <v>3000</v>
      </c>
      <c r="H35" s="6">
        <f t="shared" si="1"/>
        <v>12</v>
      </c>
      <c r="I35" s="11">
        <f t="shared" si="2"/>
        <v>187.5</v>
      </c>
      <c r="J35" s="16">
        <f t="shared" si="3"/>
        <v>188</v>
      </c>
      <c r="K35" s="17">
        <f t="shared" si="4"/>
        <v>-2.6595744680850686E-3</v>
      </c>
      <c r="L35" s="6" t="str">
        <f t="shared" si="5"/>
        <v/>
      </c>
      <c r="M35" s="7" t="str">
        <f t="shared" si="9"/>
        <v/>
      </c>
      <c r="N35" s="19" t="str">
        <f t="shared" si="6"/>
        <v xml:space="preserve">187, </v>
      </c>
      <c r="O35" s="19"/>
      <c r="P35" s="24"/>
    </row>
    <row r="36" spans="1:18" s="2" customFormat="1" x14ac:dyDescent="0.35">
      <c r="A36" s="6"/>
      <c r="B36" s="3"/>
      <c r="C36" s="7"/>
      <c r="D36" s="7"/>
      <c r="E36" s="20">
        <v>3300</v>
      </c>
      <c r="F36" s="8">
        <f t="shared" si="7"/>
        <v>3600</v>
      </c>
      <c r="G36" s="11">
        <f t="shared" si="0"/>
        <v>3600</v>
      </c>
      <c r="H36" s="6">
        <f t="shared" si="1"/>
        <v>12</v>
      </c>
      <c r="I36" s="11">
        <f t="shared" si="2"/>
        <v>225</v>
      </c>
      <c r="J36" s="16">
        <f t="shared" si="3"/>
        <v>225</v>
      </c>
      <c r="K36" s="17">
        <f t="shared" si="4"/>
        <v>0</v>
      </c>
      <c r="L36" s="6" t="str">
        <f t="shared" si="5"/>
        <v/>
      </c>
      <c r="M36" s="7" t="str">
        <f t="shared" si="9"/>
        <v/>
      </c>
      <c r="N36" s="19" t="str">
        <f t="shared" si="6"/>
        <v xml:space="preserve">224, 
</v>
      </c>
      <c r="O36" s="19"/>
      <c r="P36" s="24"/>
    </row>
    <row r="37" spans="1:18" x14ac:dyDescent="0.35">
      <c r="B37" s="3"/>
      <c r="C37" s="7"/>
      <c r="E37" s="20">
        <v>3900</v>
      </c>
      <c r="F37" s="8">
        <f t="shared" si="7"/>
        <v>4300</v>
      </c>
      <c r="G37" s="11">
        <f t="shared" si="0"/>
        <v>4300</v>
      </c>
      <c r="H37" s="6">
        <f t="shared" si="1"/>
        <v>13</v>
      </c>
      <c r="I37" s="11">
        <f t="shared" si="2"/>
        <v>134.375</v>
      </c>
      <c r="J37" s="16">
        <f t="shared" si="3"/>
        <v>134</v>
      </c>
      <c r="K37" s="17">
        <f t="shared" si="4"/>
        <v>2.7985074626866169E-3</v>
      </c>
      <c r="L37" s="6">
        <f t="shared" si="5"/>
        <v>32</v>
      </c>
      <c r="M37" s="7" t="str">
        <f t="shared" si="9"/>
        <v xml:space="preserve">50, </v>
      </c>
      <c r="N37" s="19" t="str">
        <f t="shared" si="6"/>
        <v xml:space="preserve">133, </v>
      </c>
      <c r="O37" s="19"/>
      <c r="P37" s="24"/>
    </row>
    <row r="38" spans="1:18" x14ac:dyDescent="0.35">
      <c r="B38" s="3"/>
      <c r="C38" s="7"/>
      <c r="E38" s="20">
        <v>4700</v>
      </c>
      <c r="F38" s="8">
        <f t="shared" si="7"/>
        <v>5150</v>
      </c>
      <c r="G38" s="11">
        <f t="shared" si="0"/>
        <v>5150</v>
      </c>
      <c r="H38" s="6">
        <f t="shared" si="1"/>
        <v>13</v>
      </c>
      <c r="I38" s="11">
        <f t="shared" si="2"/>
        <v>160.9375</v>
      </c>
      <c r="J38" s="16">
        <f t="shared" si="3"/>
        <v>161</v>
      </c>
      <c r="K38" s="17">
        <f t="shared" si="4"/>
        <v>-3.8819875776396895E-4</v>
      </c>
      <c r="L38" s="6" t="str">
        <f t="shared" si="5"/>
        <v/>
      </c>
      <c r="M38" s="7" t="str">
        <f t="shared" si="9"/>
        <v/>
      </c>
      <c r="N38" s="19" t="str">
        <f t="shared" si="6"/>
        <v xml:space="preserve">160, </v>
      </c>
      <c r="O38" s="19"/>
      <c r="P38" s="24"/>
    </row>
    <row r="39" spans="1:18" x14ac:dyDescent="0.35">
      <c r="B39" s="3"/>
      <c r="C39" s="7"/>
      <c r="E39" s="20">
        <v>5600</v>
      </c>
      <c r="F39" s="8">
        <f t="shared" si="7"/>
        <v>6200</v>
      </c>
      <c r="G39" s="11">
        <f t="shared" si="0"/>
        <v>6200</v>
      </c>
      <c r="H39" s="6">
        <f t="shared" si="1"/>
        <v>13</v>
      </c>
      <c r="I39" s="11">
        <f t="shared" si="2"/>
        <v>193.75</v>
      </c>
      <c r="J39" s="16">
        <f t="shared" si="3"/>
        <v>194</v>
      </c>
      <c r="K39" s="17">
        <f t="shared" si="4"/>
        <v>-1.2886597938144284E-3</v>
      </c>
      <c r="L39" s="6" t="str">
        <f t="shared" si="5"/>
        <v/>
      </c>
      <c r="M39" s="7" t="str">
        <f t="shared" si="9"/>
        <v/>
      </c>
      <c r="N39" s="19" t="str">
        <f t="shared" si="6"/>
        <v xml:space="preserve">193, </v>
      </c>
      <c r="O39" s="19"/>
      <c r="P39" s="24"/>
    </row>
    <row r="40" spans="1:18" x14ac:dyDescent="0.35">
      <c r="C40" s="7"/>
      <c r="E40" s="20">
        <v>6800</v>
      </c>
      <c r="F40" s="8">
        <f t="shared" si="7"/>
        <v>7500</v>
      </c>
      <c r="G40" s="11">
        <f t="shared" si="0"/>
        <v>7500</v>
      </c>
      <c r="H40" s="6">
        <f t="shared" si="1"/>
        <v>13</v>
      </c>
      <c r="I40" s="11">
        <f t="shared" si="2"/>
        <v>234.375</v>
      </c>
      <c r="J40" s="16">
        <f t="shared" si="3"/>
        <v>234</v>
      </c>
      <c r="K40" s="17">
        <f t="shared" si="4"/>
        <v>1.6025641025640969E-3</v>
      </c>
      <c r="L40" s="6" t="str">
        <f t="shared" si="5"/>
        <v/>
      </c>
      <c r="M40" s="7" t="str">
        <f t="shared" si="9"/>
        <v/>
      </c>
      <c r="N40" s="19" t="str">
        <f t="shared" si="6"/>
        <v xml:space="preserve">233, 
</v>
      </c>
      <c r="O40" s="19"/>
      <c r="P40" s="24"/>
    </row>
    <row r="41" spans="1:18" x14ac:dyDescent="0.35">
      <c r="E41" s="20">
        <v>8200</v>
      </c>
      <c r="F41" s="8">
        <f t="shared" si="7"/>
        <v>9100</v>
      </c>
      <c r="G41" s="11">
        <f t="shared" si="0"/>
        <v>9100</v>
      </c>
      <c r="H41" s="6">
        <f t="shared" si="1"/>
        <v>14</v>
      </c>
      <c r="I41" s="11">
        <f t="shared" si="2"/>
        <v>142.1875</v>
      </c>
      <c r="J41" s="16">
        <f t="shared" si="3"/>
        <v>142</v>
      </c>
      <c r="K41" s="17">
        <f t="shared" si="4"/>
        <v>1.320422535211252E-3</v>
      </c>
      <c r="L41" s="6">
        <f t="shared" si="5"/>
        <v>36</v>
      </c>
      <c r="M41" s="7" t="str">
        <f t="shared" si="9"/>
        <v xml:space="preserve">54, </v>
      </c>
      <c r="N41" s="19" t="str">
        <f t="shared" si="6"/>
        <v xml:space="preserve">141, </v>
      </c>
      <c r="O41" s="19"/>
      <c r="P41" s="24"/>
    </row>
    <row r="42" spans="1:18" x14ac:dyDescent="0.35">
      <c r="E42" s="20">
        <v>10000</v>
      </c>
      <c r="F42" s="8">
        <f t="shared" si="7"/>
        <v>11000</v>
      </c>
      <c r="G42" s="11">
        <f t="shared" si="0"/>
        <v>11000</v>
      </c>
      <c r="H42" s="6">
        <f t="shared" si="1"/>
        <v>14</v>
      </c>
      <c r="I42" s="11">
        <f t="shared" si="2"/>
        <v>171.875</v>
      </c>
      <c r="J42" s="16">
        <f t="shared" si="3"/>
        <v>172</v>
      </c>
      <c r="K42" s="17">
        <f t="shared" si="4"/>
        <v>-7.2674418604645741E-4</v>
      </c>
      <c r="L42" s="6" t="str">
        <f t="shared" si="5"/>
        <v/>
      </c>
      <c r="M42" s="7" t="str">
        <f t="shared" si="9"/>
        <v/>
      </c>
      <c r="N42" s="19" t="str">
        <f t="shared" si="6"/>
        <v xml:space="preserve">171, </v>
      </c>
      <c r="O42" s="19"/>
      <c r="P42" s="24"/>
    </row>
    <row r="43" spans="1:18" x14ac:dyDescent="0.35">
      <c r="E43" s="20">
        <v>12000</v>
      </c>
      <c r="F43" s="8">
        <f t="shared" si="7"/>
        <v>13500</v>
      </c>
      <c r="G43" s="11">
        <f t="shared" si="0"/>
        <v>13500</v>
      </c>
      <c r="H43" s="6">
        <f t="shared" si="1"/>
        <v>14</v>
      </c>
      <c r="I43" s="11">
        <f t="shared" si="2"/>
        <v>210.9375</v>
      </c>
      <c r="J43" s="16">
        <f t="shared" si="3"/>
        <v>211</v>
      </c>
      <c r="K43" s="17">
        <f t="shared" si="4"/>
        <v>-2.962085308056972E-4</v>
      </c>
      <c r="L43" s="6" t="str">
        <f t="shared" si="5"/>
        <v/>
      </c>
      <c r="M43" s="7" t="str">
        <f t="shared" si="9"/>
        <v/>
      </c>
      <c r="N43" s="19" t="str">
        <f t="shared" si="6"/>
        <v xml:space="preserve">210, 
</v>
      </c>
      <c r="O43" s="19"/>
      <c r="P43" s="24"/>
    </row>
    <row r="44" spans="1:18" x14ac:dyDescent="0.35">
      <c r="E44" s="20">
        <v>15000</v>
      </c>
      <c r="F44" s="8">
        <f t="shared" si="7"/>
        <v>16500</v>
      </c>
      <c r="G44" s="11">
        <f t="shared" si="0"/>
        <v>16500</v>
      </c>
      <c r="H44" s="6">
        <f t="shared" si="1"/>
        <v>15</v>
      </c>
      <c r="I44" s="11">
        <f t="shared" si="2"/>
        <v>128.90625</v>
      </c>
      <c r="J44" s="16">
        <f t="shared" si="3"/>
        <v>129</v>
      </c>
      <c r="K44" s="17">
        <f t="shared" si="4"/>
        <v>-7.2674418604645741E-4</v>
      </c>
      <c r="L44" s="6">
        <f t="shared" si="5"/>
        <v>39</v>
      </c>
      <c r="M44" s="7" t="str">
        <f t="shared" si="9"/>
        <v xml:space="preserve">57, </v>
      </c>
      <c r="N44" s="19" t="str">
        <f t="shared" si="6"/>
        <v xml:space="preserve">128, </v>
      </c>
      <c r="O44" s="6"/>
    </row>
    <row r="45" spans="1:18" x14ac:dyDescent="0.35">
      <c r="E45" s="20">
        <v>18000</v>
      </c>
      <c r="F45" s="8">
        <f t="shared" si="7"/>
        <v>20000</v>
      </c>
      <c r="G45" s="11">
        <f t="shared" si="0"/>
        <v>20000</v>
      </c>
      <c r="H45" s="6">
        <f t="shared" si="1"/>
        <v>15</v>
      </c>
      <c r="I45" s="11">
        <f t="shared" si="2"/>
        <v>156.25</v>
      </c>
      <c r="J45" s="16">
        <f t="shared" si="3"/>
        <v>156</v>
      </c>
      <c r="K45" s="17">
        <f t="shared" si="4"/>
        <v>1.6025641025640969E-3</v>
      </c>
      <c r="L45" s="6" t="str">
        <f t="shared" si="5"/>
        <v/>
      </c>
      <c r="M45" s="7" t="str">
        <f t="shared" si="9"/>
        <v/>
      </c>
      <c r="N45" s="19" t="str">
        <f t="shared" si="6"/>
        <v xml:space="preserve">155, </v>
      </c>
      <c r="O45" s="6"/>
    </row>
    <row r="46" spans="1:18" x14ac:dyDescent="0.35">
      <c r="E46" s="20">
        <v>22000</v>
      </c>
      <c r="F46" s="8">
        <f t="shared" si="7"/>
        <v>24500</v>
      </c>
      <c r="G46" s="11">
        <f t="shared" si="0"/>
        <v>24500</v>
      </c>
      <c r="H46" s="6">
        <f t="shared" si="1"/>
        <v>15</v>
      </c>
      <c r="I46" s="11">
        <f t="shared" si="2"/>
        <v>191.40625</v>
      </c>
      <c r="J46" s="16">
        <f t="shared" si="3"/>
        <v>191</v>
      </c>
      <c r="K46" s="17">
        <f t="shared" si="4"/>
        <v>2.126963350785438E-3</v>
      </c>
      <c r="L46" s="6" t="str">
        <f t="shared" si="5"/>
        <v/>
      </c>
      <c r="M46" s="7" t="str">
        <f t="shared" si="9"/>
        <v/>
      </c>
      <c r="N46" s="19" t="str">
        <f t="shared" si="6"/>
        <v xml:space="preserve">190, </v>
      </c>
    </row>
    <row r="47" spans="1:18" x14ac:dyDescent="0.35">
      <c r="E47" s="20">
        <v>27000</v>
      </c>
      <c r="F47" s="8">
        <f t="shared" si="7"/>
        <v>30000</v>
      </c>
      <c r="G47" s="11">
        <f t="shared" si="0"/>
        <v>30000</v>
      </c>
      <c r="H47" s="6">
        <f t="shared" si="1"/>
        <v>15</v>
      </c>
      <c r="I47" s="11">
        <f t="shared" si="2"/>
        <v>234.375</v>
      </c>
      <c r="J47" s="16">
        <f t="shared" si="3"/>
        <v>234</v>
      </c>
      <c r="K47" s="17">
        <f t="shared" si="4"/>
        <v>1.6025641025640969E-3</v>
      </c>
      <c r="L47" s="6" t="str">
        <f t="shared" si="5"/>
        <v/>
      </c>
      <c r="M47" s="7" t="str">
        <f t="shared" si="9"/>
        <v/>
      </c>
      <c r="N47" s="19" t="str">
        <f t="shared" si="6"/>
        <v xml:space="preserve">233, 
</v>
      </c>
    </row>
    <row r="48" spans="1:18" x14ac:dyDescent="0.35">
      <c r="E48" s="20">
        <v>33000</v>
      </c>
      <c r="F48" s="8">
        <f t="shared" si="7"/>
        <v>36000</v>
      </c>
      <c r="G48" s="11">
        <f t="shared" si="0"/>
        <v>36000</v>
      </c>
      <c r="H48" s="6">
        <f t="shared" si="1"/>
        <v>16</v>
      </c>
      <c r="I48" s="11">
        <f t="shared" si="2"/>
        <v>140.625</v>
      </c>
      <c r="J48" s="16">
        <f t="shared" si="3"/>
        <v>141</v>
      </c>
      <c r="K48" s="17">
        <f t="shared" si="4"/>
        <v>-2.6595744680850686E-3</v>
      </c>
      <c r="L48" s="6">
        <f t="shared" si="5"/>
        <v>43</v>
      </c>
      <c r="M48" s="7" t="str">
        <f t="shared" si="9"/>
        <v xml:space="preserve">61, </v>
      </c>
      <c r="N48" s="19" t="str">
        <f t="shared" si="6"/>
        <v xml:space="preserve">140, </v>
      </c>
      <c r="O48" s="6"/>
    </row>
    <row r="49" spans="5:14" x14ac:dyDescent="0.35">
      <c r="E49" s="20">
        <v>39000</v>
      </c>
      <c r="F49" s="8">
        <f t="shared" si="7"/>
        <v>43000</v>
      </c>
      <c r="G49" s="11">
        <f t="shared" si="0"/>
        <v>43000</v>
      </c>
      <c r="H49" s="6">
        <f t="shared" si="1"/>
        <v>16</v>
      </c>
      <c r="I49" s="11">
        <f t="shared" si="2"/>
        <v>167.96875</v>
      </c>
      <c r="J49" s="16">
        <f t="shared" si="3"/>
        <v>168</v>
      </c>
      <c r="K49" s="17">
        <f t="shared" si="4"/>
        <v>-1.8601190476186247E-4</v>
      </c>
      <c r="L49" s="6" t="str">
        <f t="shared" si="5"/>
        <v/>
      </c>
      <c r="M49" s="7" t="str">
        <f t="shared" si="9"/>
        <v/>
      </c>
      <c r="N49" s="19" t="str">
        <f t="shared" si="6"/>
        <v xml:space="preserve">167, </v>
      </c>
    </row>
    <row r="50" spans="5:14" x14ac:dyDescent="0.35">
      <c r="E50" s="20">
        <v>47000</v>
      </c>
      <c r="F50" s="8">
        <f t="shared" si="7"/>
        <v>51500</v>
      </c>
      <c r="G50" s="11">
        <f t="shared" si="0"/>
        <v>51500</v>
      </c>
      <c r="H50" s="6">
        <f t="shared" si="1"/>
        <v>16</v>
      </c>
      <c r="I50" s="11">
        <f t="shared" si="2"/>
        <v>201.171875</v>
      </c>
      <c r="J50" s="16">
        <f t="shared" si="3"/>
        <v>201</v>
      </c>
      <c r="K50" s="17">
        <f t="shared" si="4"/>
        <v>8.5509950248763289E-4</v>
      </c>
      <c r="L50" s="6" t="str">
        <f t="shared" si="5"/>
        <v/>
      </c>
      <c r="M50" s="7" t="str">
        <f t="shared" si="9"/>
        <v/>
      </c>
      <c r="N50" s="19" t="str">
        <f t="shared" si="6"/>
        <v xml:space="preserve">200, </v>
      </c>
    </row>
    <row r="51" spans="5:14" x14ac:dyDescent="0.35">
      <c r="E51" s="20">
        <v>56000</v>
      </c>
      <c r="F51" s="8">
        <f t="shared" si="7"/>
        <v>62000</v>
      </c>
      <c r="G51" s="11">
        <f t="shared" si="0"/>
        <v>62000</v>
      </c>
      <c r="H51" s="6">
        <f t="shared" si="1"/>
        <v>16</v>
      </c>
      <c r="I51" s="11">
        <f t="shared" si="2"/>
        <v>242.1875</v>
      </c>
      <c r="J51" s="16">
        <f t="shared" si="3"/>
        <v>242</v>
      </c>
      <c r="K51" s="17">
        <f t="shared" si="4"/>
        <v>7.7479338842967316E-4</v>
      </c>
      <c r="L51" s="6" t="str">
        <f t="shared" si="5"/>
        <v/>
      </c>
      <c r="M51" s="7" t="str">
        <f t="shared" si="9"/>
        <v/>
      </c>
      <c r="N51" s="19" t="str">
        <f t="shared" si="6"/>
        <v xml:space="preserve">241, 
</v>
      </c>
    </row>
    <row r="52" spans="5:14" x14ac:dyDescent="0.35">
      <c r="E52" s="20">
        <v>68000</v>
      </c>
      <c r="F52" s="8">
        <f t="shared" si="7"/>
        <v>75000</v>
      </c>
      <c r="G52" s="11">
        <f t="shared" si="0"/>
        <v>75000</v>
      </c>
      <c r="H52" s="6">
        <f t="shared" si="1"/>
        <v>17</v>
      </c>
      <c r="I52" s="11">
        <f t="shared" si="2"/>
        <v>146.484375</v>
      </c>
      <c r="J52" s="16">
        <f t="shared" si="3"/>
        <v>146</v>
      </c>
      <c r="K52" s="17">
        <f t="shared" si="4"/>
        <v>3.3176369863012756E-3</v>
      </c>
      <c r="L52" s="6">
        <f t="shared" si="5"/>
        <v>47</v>
      </c>
      <c r="M52" s="7" t="str">
        <f t="shared" si="9"/>
        <v xml:space="preserve">65, </v>
      </c>
      <c r="N52" s="19" t="str">
        <f t="shared" si="6"/>
        <v xml:space="preserve">145, </v>
      </c>
    </row>
    <row r="53" spans="5:14" x14ac:dyDescent="0.35">
      <c r="E53" s="20">
        <v>82000</v>
      </c>
      <c r="F53" s="8">
        <f t="shared" si="7"/>
        <v>91000</v>
      </c>
      <c r="G53" s="11">
        <f t="shared" si="0"/>
        <v>91000</v>
      </c>
      <c r="H53" s="6">
        <f t="shared" si="1"/>
        <v>17</v>
      </c>
      <c r="I53" s="11">
        <f t="shared" si="2"/>
        <v>177.734375</v>
      </c>
      <c r="J53" s="16">
        <f t="shared" si="3"/>
        <v>178</v>
      </c>
      <c r="K53" s="17">
        <f t="shared" si="4"/>
        <v>-1.4922752808989026E-3</v>
      </c>
      <c r="L53" s="6" t="str">
        <f t="shared" si="5"/>
        <v/>
      </c>
      <c r="M53" s="7" t="str">
        <f t="shared" si="9"/>
        <v/>
      </c>
      <c r="N53" s="19" t="str">
        <f t="shared" si="6"/>
        <v xml:space="preserve">177, </v>
      </c>
    </row>
    <row r="54" spans="5:14" x14ac:dyDescent="0.35">
      <c r="E54" s="20">
        <v>100000</v>
      </c>
      <c r="F54" s="8">
        <f t="shared" si="7"/>
        <v>110000</v>
      </c>
      <c r="G54" s="11">
        <f t="shared" si="0"/>
        <v>110000</v>
      </c>
      <c r="H54" s="6">
        <f t="shared" si="1"/>
        <v>17</v>
      </c>
      <c r="I54" s="11">
        <f t="shared" si="2"/>
        <v>214.84375</v>
      </c>
      <c r="J54" s="16">
        <f t="shared" si="3"/>
        <v>215</v>
      </c>
      <c r="K54" s="17">
        <f t="shared" si="4"/>
        <v>-7.2674418604645741E-4</v>
      </c>
      <c r="L54" s="6" t="str">
        <f t="shared" si="5"/>
        <v/>
      </c>
      <c r="M54" s="7" t="str">
        <f t="shared" si="9"/>
        <v/>
      </c>
      <c r="N54" s="19" t="str">
        <f t="shared" si="6"/>
        <v xml:space="preserve">214, 
</v>
      </c>
    </row>
    <row r="55" spans="5:14" x14ac:dyDescent="0.35">
      <c r="E55" s="20">
        <v>120000</v>
      </c>
      <c r="F55" s="8">
        <f t="shared" si="7"/>
        <v>135000</v>
      </c>
      <c r="G55" s="11">
        <f t="shared" si="0"/>
        <v>135000</v>
      </c>
      <c r="H55" s="6">
        <f t="shared" si="1"/>
        <v>18</v>
      </c>
      <c r="I55" s="11">
        <f t="shared" si="2"/>
        <v>131.8359375</v>
      </c>
      <c r="J55" s="16">
        <f t="shared" si="3"/>
        <v>132</v>
      </c>
      <c r="K55" s="17">
        <f t="shared" si="4"/>
        <v>-1.2428977272727071E-3</v>
      </c>
      <c r="L55" s="6">
        <f t="shared" si="5"/>
        <v>50</v>
      </c>
      <c r="M55" s="7" t="str">
        <f t="shared" si="9"/>
        <v xml:space="preserve">68, </v>
      </c>
      <c r="N55" s="19" t="str">
        <f t="shared" si="6"/>
        <v xml:space="preserve">131, </v>
      </c>
    </row>
    <row r="56" spans="5:14" x14ac:dyDescent="0.35">
      <c r="E56" s="20">
        <v>150000</v>
      </c>
      <c r="F56" s="8">
        <f t="shared" si="7"/>
        <v>165000</v>
      </c>
      <c r="G56" s="11">
        <f t="shared" si="0"/>
        <v>165000</v>
      </c>
      <c r="H56" s="6">
        <f t="shared" si="1"/>
        <v>18</v>
      </c>
      <c r="I56" s="11">
        <f t="shared" si="2"/>
        <v>161.1328125</v>
      </c>
      <c r="J56" s="16">
        <f t="shared" si="3"/>
        <v>161</v>
      </c>
      <c r="K56" s="17">
        <f t="shared" si="4"/>
        <v>8.2492236024833687E-4</v>
      </c>
      <c r="L56" s="6" t="str">
        <f t="shared" si="5"/>
        <v/>
      </c>
      <c r="M56" s="7" t="str">
        <f t="shared" si="9"/>
        <v/>
      </c>
      <c r="N56" s="19" t="str">
        <f t="shared" si="6"/>
        <v xml:space="preserve">160, </v>
      </c>
    </row>
    <row r="57" spans="5:14" x14ac:dyDescent="0.35">
      <c r="E57" s="20">
        <v>180000</v>
      </c>
      <c r="F57" s="8">
        <f t="shared" si="7"/>
        <v>200000</v>
      </c>
      <c r="G57" s="11">
        <f t="shared" si="0"/>
        <v>200000</v>
      </c>
      <c r="H57" s="6">
        <f t="shared" si="1"/>
        <v>18</v>
      </c>
      <c r="I57" s="11">
        <f t="shared" si="2"/>
        <v>195.3125</v>
      </c>
      <c r="J57" s="16">
        <f t="shared" si="3"/>
        <v>195</v>
      </c>
      <c r="K57" s="17">
        <f t="shared" si="4"/>
        <v>1.6025641025640969E-3</v>
      </c>
      <c r="L57" s="6" t="str">
        <f t="shared" si="5"/>
        <v/>
      </c>
      <c r="M57" s="7" t="str">
        <f t="shared" si="9"/>
        <v/>
      </c>
      <c r="N57" s="19" t="str">
        <f t="shared" si="6"/>
        <v xml:space="preserve">194, </v>
      </c>
    </row>
    <row r="58" spans="5:14" x14ac:dyDescent="0.35">
      <c r="E58" s="20">
        <v>220000</v>
      </c>
      <c r="F58" s="8">
        <f t="shared" si="7"/>
        <v>245000</v>
      </c>
      <c r="G58" s="11">
        <f t="shared" si="0"/>
        <v>245000</v>
      </c>
      <c r="H58" s="6">
        <f t="shared" si="1"/>
        <v>18</v>
      </c>
      <c r="I58" s="11">
        <f t="shared" si="2"/>
        <v>239.2578125</v>
      </c>
      <c r="J58" s="16">
        <f t="shared" si="3"/>
        <v>239</v>
      </c>
      <c r="K58" s="17">
        <f t="shared" si="4"/>
        <v>1.0787133891212441E-3</v>
      </c>
      <c r="L58" s="6" t="str">
        <f t="shared" si="5"/>
        <v/>
      </c>
      <c r="M58" s="7" t="str">
        <f t="shared" si="9"/>
        <v/>
      </c>
      <c r="N58" s="19" t="str">
        <f t="shared" si="6"/>
        <v xml:space="preserve">238, 
</v>
      </c>
    </row>
    <row r="59" spans="5:14" x14ac:dyDescent="0.35">
      <c r="E59" s="20">
        <v>270000</v>
      </c>
      <c r="F59" s="8">
        <f t="shared" si="7"/>
        <v>300000</v>
      </c>
      <c r="G59" s="11">
        <f t="shared" si="0"/>
        <v>300000</v>
      </c>
      <c r="H59" s="6">
        <f t="shared" si="1"/>
        <v>19</v>
      </c>
      <c r="I59" s="11">
        <f t="shared" si="2"/>
        <v>146.484375</v>
      </c>
      <c r="J59" s="16">
        <f t="shared" si="3"/>
        <v>146</v>
      </c>
      <c r="K59" s="17">
        <f t="shared" si="4"/>
        <v>3.3176369863012756E-3</v>
      </c>
      <c r="L59" s="6">
        <f t="shared" si="5"/>
        <v>54</v>
      </c>
      <c r="M59" s="7" t="str">
        <f t="shared" si="9"/>
        <v xml:space="preserve">72, </v>
      </c>
      <c r="N59" s="19" t="str">
        <f t="shared" si="6"/>
        <v xml:space="preserve">145, </v>
      </c>
    </row>
    <row r="60" spans="5:14" x14ac:dyDescent="0.35">
      <c r="E60" s="20">
        <v>330000</v>
      </c>
      <c r="F60" s="8">
        <f t="shared" si="7"/>
        <v>360000</v>
      </c>
      <c r="G60" s="11">
        <f t="shared" si="0"/>
        <v>360000</v>
      </c>
      <c r="H60" s="6">
        <f t="shared" si="1"/>
        <v>19</v>
      </c>
      <c r="I60" s="11">
        <f t="shared" si="2"/>
        <v>175.78125</v>
      </c>
      <c r="J60" s="16">
        <f t="shared" si="3"/>
        <v>176</v>
      </c>
      <c r="K60" s="17">
        <f t="shared" si="4"/>
        <v>-1.2428977272727071E-3</v>
      </c>
      <c r="L60" s="6" t="str">
        <f t="shared" si="5"/>
        <v/>
      </c>
      <c r="M60" s="7" t="str">
        <f t="shared" si="9"/>
        <v/>
      </c>
      <c r="N60" s="19" t="str">
        <f t="shared" si="6"/>
        <v xml:space="preserve">175, </v>
      </c>
    </row>
    <row r="61" spans="5:14" x14ac:dyDescent="0.35">
      <c r="E61" s="20">
        <v>390000</v>
      </c>
      <c r="F61" s="8">
        <f t="shared" si="7"/>
        <v>430000</v>
      </c>
      <c r="G61" s="11">
        <f t="shared" si="0"/>
        <v>430000</v>
      </c>
      <c r="H61" s="6">
        <f t="shared" si="1"/>
        <v>19</v>
      </c>
      <c r="I61" s="11">
        <f t="shared" si="2"/>
        <v>209.9609375</v>
      </c>
      <c r="J61" s="16">
        <f t="shared" si="3"/>
        <v>210</v>
      </c>
      <c r="K61" s="17">
        <f t="shared" si="4"/>
        <v>-1.8601190476186247E-4</v>
      </c>
      <c r="L61" s="6" t="str">
        <f t="shared" si="5"/>
        <v/>
      </c>
      <c r="M61" s="7" t="str">
        <f t="shared" si="9"/>
        <v/>
      </c>
      <c r="N61" s="19" t="str">
        <f t="shared" si="6"/>
        <v xml:space="preserve">209, </v>
      </c>
    </row>
    <row r="62" spans="5:14" x14ac:dyDescent="0.35">
      <c r="E62" s="20">
        <v>470000</v>
      </c>
      <c r="F62" s="8">
        <f t="shared" si="7"/>
        <v>515000</v>
      </c>
      <c r="G62" s="11">
        <f t="shared" si="0"/>
        <v>515000</v>
      </c>
      <c r="H62" s="6">
        <f t="shared" si="1"/>
        <v>19</v>
      </c>
      <c r="I62" s="11">
        <f t="shared" si="2"/>
        <v>251.46484375</v>
      </c>
      <c r="J62" s="16">
        <f t="shared" si="3"/>
        <v>251</v>
      </c>
      <c r="K62" s="17">
        <f t="shared" si="4"/>
        <v>1.8519671314740638E-3</v>
      </c>
      <c r="L62" s="6" t="str">
        <f t="shared" si="5"/>
        <v/>
      </c>
      <c r="M62" s="7" t="str">
        <f t="shared" si="9"/>
        <v/>
      </c>
      <c r="N62" s="19" t="str">
        <f t="shared" si="6"/>
        <v xml:space="preserve">250, 
</v>
      </c>
    </row>
    <row r="63" spans="5:14" x14ac:dyDescent="0.35">
      <c r="E63" s="20">
        <v>560000</v>
      </c>
      <c r="F63" s="8">
        <f t="shared" si="7"/>
        <v>620000</v>
      </c>
      <c r="G63" s="11">
        <f t="shared" si="0"/>
        <v>620000</v>
      </c>
      <c r="H63" s="6">
        <f t="shared" si="1"/>
        <v>20</v>
      </c>
      <c r="I63" s="11">
        <f t="shared" si="2"/>
        <v>151.3671875</v>
      </c>
      <c r="J63" s="16">
        <f t="shared" si="3"/>
        <v>151</v>
      </c>
      <c r="K63" s="17">
        <f t="shared" si="4"/>
        <v>2.4317052980131759E-3</v>
      </c>
      <c r="L63" s="6">
        <f t="shared" si="5"/>
        <v>58</v>
      </c>
      <c r="M63" s="7" t="str">
        <f t="shared" ref="M63:M79" si="10">IF(L63&lt;&gt;"",L63+COUNT(L:L)&amp;", ","")</f>
        <v xml:space="preserve">76, </v>
      </c>
      <c r="N63" s="19" t="str">
        <f t="shared" si="6"/>
        <v xml:space="preserve">150, </v>
      </c>
    </row>
    <row r="64" spans="5:14" x14ac:dyDescent="0.35">
      <c r="E64" s="20">
        <v>680000</v>
      </c>
      <c r="F64" s="8">
        <f t="shared" si="7"/>
        <v>750000</v>
      </c>
      <c r="G64" s="11">
        <f t="shared" si="0"/>
        <v>750000</v>
      </c>
      <c r="H64" s="6">
        <f t="shared" si="1"/>
        <v>20</v>
      </c>
      <c r="I64" s="11">
        <f t="shared" si="2"/>
        <v>183.10546875</v>
      </c>
      <c r="J64" s="16">
        <f t="shared" si="3"/>
        <v>183</v>
      </c>
      <c r="K64" s="17">
        <f t="shared" si="4"/>
        <v>5.7633196721318392E-4</v>
      </c>
      <c r="L64" s="6" t="str">
        <f t="shared" si="5"/>
        <v/>
      </c>
      <c r="M64" s="7" t="str">
        <f t="shared" si="10"/>
        <v/>
      </c>
      <c r="N64" s="19" t="str">
        <f t="shared" si="6"/>
        <v xml:space="preserve">182, </v>
      </c>
    </row>
    <row r="65" spans="5:14" x14ac:dyDescent="0.35">
      <c r="E65" s="20">
        <v>820000</v>
      </c>
      <c r="F65" s="8">
        <f t="shared" si="7"/>
        <v>910000</v>
      </c>
      <c r="G65" s="11">
        <f t="shared" si="0"/>
        <v>910000</v>
      </c>
      <c r="H65" s="6">
        <f t="shared" si="1"/>
        <v>20</v>
      </c>
      <c r="I65" s="11">
        <f t="shared" si="2"/>
        <v>222.16796875</v>
      </c>
      <c r="J65" s="16">
        <f t="shared" si="3"/>
        <v>222</v>
      </c>
      <c r="K65" s="17">
        <f t="shared" si="4"/>
        <v>7.5661599099108301E-4</v>
      </c>
      <c r="L65" s="6" t="str">
        <f t="shared" si="5"/>
        <v/>
      </c>
      <c r="M65" s="7" t="str">
        <f t="shared" si="10"/>
        <v/>
      </c>
      <c r="N65" s="19" t="str">
        <f t="shared" si="6"/>
        <v xml:space="preserve">221, 
</v>
      </c>
    </row>
    <row r="66" spans="5:14" x14ac:dyDescent="0.35">
      <c r="E66" s="20">
        <v>1000000</v>
      </c>
      <c r="F66" s="8">
        <f t="shared" si="7"/>
        <v>1100000</v>
      </c>
      <c r="G66" s="11">
        <f t="shared" si="0"/>
        <v>1100000</v>
      </c>
      <c r="H66" s="6">
        <f t="shared" si="1"/>
        <v>21</v>
      </c>
      <c r="I66" s="11">
        <f t="shared" si="2"/>
        <v>134.27734375</v>
      </c>
      <c r="J66" s="16">
        <f t="shared" si="3"/>
        <v>134</v>
      </c>
      <c r="K66" s="17">
        <f t="shared" si="4"/>
        <v>2.0697294776119701E-3</v>
      </c>
      <c r="L66" s="6">
        <f t="shared" si="5"/>
        <v>61</v>
      </c>
      <c r="M66" s="7" t="str">
        <f t="shared" si="10"/>
        <v xml:space="preserve">79, </v>
      </c>
      <c r="N66" s="19" t="str">
        <f t="shared" si="6"/>
        <v xml:space="preserve">133, </v>
      </c>
    </row>
    <row r="67" spans="5:14" x14ac:dyDescent="0.35">
      <c r="E67" s="20">
        <v>1200000</v>
      </c>
      <c r="F67" s="8">
        <f t="shared" si="7"/>
        <v>1350000</v>
      </c>
      <c r="G67" s="11">
        <f t="shared" si="0"/>
        <v>1350000</v>
      </c>
      <c r="H67" s="6">
        <f t="shared" si="1"/>
        <v>21</v>
      </c>
      <c r="I67" s="11">
        <f t="shared" si="2"/>
        <v>164.794921875</v>
      </c>
      <c r="J67" s="16">
        <f t="shared" si="3"/>
        <v>165</v>
      </c>
      <c r="K67" s="17">
        <f t="shared" si="4"/>
        <v>-1.2428977272727071E-3</v>
      </c>
      <c r="L67" s="6" t="str">
        <f t="shared" si="5"/>
        <v/>
      </c>
      <c r="M67" s="7" t="str">
        <f t="shared" si="10"/>
        <v/>
      </c>
      <c r="N67" s="19" t="str">
        <f t="shared" si="6"/>
        <v xml:space="preserve">164, </v>
      </c>
    </row>
    <row r="68" spans="5:14" x14ac:dyDescent="0.35">
      <c r="E68" s="20">
        <v>1500000</v>
      </c>
      <c r="F68" s="8">
        <f t="shared" si="7"/>
        <v>1650000</v>
      </c>
      <c r="G68" s="11">
        <f t="shared" si="0"/>
        <v>1650000</v>
      </c>
      <c r="H68" s="6">
        <f t="shared" si="1"/>
        <v>21</v>
      </c>
      <c r="I68" s="11">
        <f t="shared" si="2"/>
        <v>201.416015625</v>
      </c>
      <c r="J68" s="16">
        <f t="shared" si="3"/>
        <v>201</v>
      </c>
      <c r="K68" s="17">
        <f t="shared" si="4"/>
        <v>2.0697294776119701E-3</v>
      </c>
      <c r="L68" s="6" t="str">
        <f t="shared" si="5"/>
        <v/>
      </c>
      <c r="M68" s="7" t="str">
        <f t="shared" si="10"/>
        <v/>
      </c>
      <c r="N68" s="19" t="str">
        <f t="shared" si="6"/>
        <v xml:space="preserve">200, </v>
      </c>
    </row>
    <row r="69" spans="5:14" x14ac:dyDescent="0.35">
      <c r="E69" s="20">
        <v>1800000</v>
      </c>
      <c r="F69" s="8">
        <f t="shared" si="7"/>
        <v>2000000</v>
      </c>
      <c r="G69" s="11">
        <f t="shared" si="0"/>
        <v>2000000</v>
      </c>
      <c r="H69" s="6">
        <f t="shared" si="1"/>
        <v>21</v>
      </c>
      <c r="I69" s="11">
        <f t="shared" si="2"/>
        <v>244.140625</v>
      </c>
      <c r="J69" s="16">
        <f t="shared" si="3"/>
        <v>244</v>
      </c>
      <c r="K69" s="17">
        <f t="shared" si="4"/>
        <v>5.7633196721318392E-4</v>
      </c>
      <c r="L69" s="6" t="str">
        <f t="shared" si="5"/>
        <v/>
      </c>
      <c r="M69" s="7" t="str">
        <f t="shared" si="10"/>
        <v/>
      </c>
      <c r="N69" s="19" t="str">
        <f t="shared" si="6"/>
        <v xml:space="preserve">243, 
</v>
      </c>
    </row>
    <row r="70" spans="5:14" x14ac:dyDescent="0.35">
      <c r="E70" s="20">
        <v>2200000</v>
      </c>
      <c r="F70" s="8">
        <f t="shared" ref="F70:F78" si="11">E70-(E70-E71)/2</f>
        <v>2450000</v>
      </c>
      <c r="G70" s="11">
        <f t="shared" ref="G70:G78" si="12">F70/(2^$C$13)</f>
        <v>2450000</v>
      </c>
      <c r="H70" s="6">
        <f t="shared" ref="H70:H78" si="13">IF(CEILING(LOG(G70+1,2),1)&lt;$C$8*8,$C$8*8,CEILING(LOG(G70+1,2),1))</f>
        <v>22</v>
      </c>
      <c r="I70" s="11">
        <f t="shared" ref="I70:I78" si="14">G70/2^(H70-($C$8*8))</f>
        <v>149.5361328125</v>
      </c>
      <c r="J70" s="16">
        <f t="shared" ref="J70:J78" si="15">ROUND(I70,0)</f>
        <v>150</v>
      </c>
      <c r="K70" s="17">
        <f t="shared" ref="K70:K78" si="16">I70/J70-1</f>
        <v>-3.0924479166666297E-3</v>
      </c>
      <c r="L70" s="6">
        <f t="shared" ref="L70:L79" si="17">IF($H69&lt;&gt;$H70,ROW($H70)-ROW($H$5),"")</f>
        <v>65</v>
      </c>
      <c r="M70" s="7" t="str">
        <f t="shared" si="10"/>
        <v xml:space="preserve">83, </v>
      </c>
      <c r="N70" s="19" t="str">
        <f t="shared" ref="N70:N79" si="18">IF(J70&lt;&gt;"",J70-1&amp;", "&amp;IF($H70&lt;&gt;$H71,CHAR(10),""),256^$C$8-1&amp;CHAR(10))</f>
        <v xml:space="preserve">149, </v>
      </c>
    </row>
    <row r="71" spans="5:14" x14ac:dyDescent="0.35">
      <c r="E71" s="20">
        <v>2700000</v>
      </c>
      <c r="F71" s="8">
        <f t="shared" si="11"/>
        <v>3000000</v>
      </c>
      <c r="G71" s="11">
        <f t="shared" si="12"/>
        <v>3000000</v>
      </c>
      <c r="H71" s="6">
        <f t="shared" si="13"/>
        <v>22</v>
      </c>
      <c r="I71" s="11">
        <f t="shared" si="14"/>
        <v>183.10546875</v>
      </c>
      <c r="J71" s="16">
        <f t="shared" si="15"/>
        <v>183</v>
      </c>
      <c r="K71" s="17">
        <f t="shared" si="16"/>
        <v>5.7633196721318392E-4</v>
      </c>
      <c r="L71" s="6" t="str">
        <f t="shared" si="17"/>
        <v/>
      </c>
      <c r="M71" s="7" t="str">
        <f t="shared" si="10"/>
        <v/>
      </c>
      <c r="N71" s="19" t="str">
        <f t="shared" si="18"/>
        <v xml:space="preserve">182, </v>
      </c>
    </row>
    <row r="72" spans="5:14" x14ac:dyDescent="0.35">
      <c r="E72" s="20">
        <v>3300000</v>
      </c>
      <c r="F72" s="8">
        <f t="shared" si="11"/>
        <v>3600000</v>
      </c>
      <c r="G72" s="11">
        <f t="shared" si="12"/>
        <v>3600000</v>
      </c>
      <c r="H72" s="6">
        <f t="shared" si="13"/>
        <v>22</v>
      </c>
      <c r="I72" s="11">
        <f t="shared" si="14"/>
        <v>219.7265625</v>
      </c>
      <c r="J72" s="16">
        <f t="shared" si="15"/>
        <v>220</v>
      </c>
      <c r="K72" s="17">
        <f t="shared" si="16"/>
        <v>-1.2428977272727071E-3</v>
      </c>
      <c r="L72" s="6" t="str">
        <f t="shared" si="17"/>
        <v/>
      </c>
      <c r="M72" s="7" t="str">
        <f t="shared" si="10"/>
        <v/>
      </c>
      <c r="N72" s="19" t="str">
        <f t="shared" si="18"/>
        <v xml:space="preserve">219, 
</v>
      </c>
    </row>
    <row r="73" spans="5:14" x14ac:dyDescent="0.35">
      <c r="E73" s="20">
        <v>3900000</v>
      </c>
      <c r="F73" s="8">
        <f t="shared" si="11"/>
        <v>4300000</v>
      </c>
      <c r="G73" s="11">
        <f t="shared" si="12"/>
        <v>4300000</v>
      </c>
      <c r="H73" s="6">
        <f t="shared" si="13"/>
        <v>23</v>
      </c>
      <c r="I73" s="11">
        <f t="shared" si="14"/>
        <v>131.2255859375</v>
      </c>
      <c r="J73" s="16">
        <f t="shared" si="15"/>
        <v>131</v>
      </c>
      <c r="K73" s="17">
        <f t="shared" si="16"/>
        <v>1.7220300572517999E-3</v>
      </c>
      <c r="L73" s="6">
        <f t="shared" si="17"/>
        <v>68</v>
      </c>
      <c r="M73" s="7" t="str">
        <f t="shared" si="10"/>
        <v xml:space="preserve">86, </v>
      </c>
      <c r="N73" s="19" t="str">
        <f t="shared" si="18"/>
        <v xml:space="preserve">130, </v>
      </c>
    </row>
    <row r="74" spans="5:14" x14ac:dyDescent="0.35">
      <c r="E74" s="20">
        <v>4700000</v>
      </c>
      <c r="F74" s="8">
        <f t="shared" si="11"/>
        <v>5150000</v>
      </c>
      <c r="G74" s="11">
        <f t="shared" si="12"/>
        <v>5150000</v>
      </c>
      <c r="H74" s="6">
        <f t="shared" si="13"/>
        <v>23</v>
      </c>
      <c r="I74" s="11">
        <f t="shared" si="14"/>
        <v>157.16552734375</v>
      </c>
      <c r="J74" s="16">
        <f t="shared" si="15"/>
        <v>157</v>
      </c>
      <c r="K74" s="17">
        <f t="shared" si="16"/>
        <v>1.0543142914012371E-3</v>
      </c>
      <c r="L74" s="6" t="str">
        <f t="shared" si="17"/>
        <v/>
      </c>
      <c r="M74" s="7" t="str">
        <f t="shared" si="10"/>
        <v/>
      </c>
      <c r="N74" s="19" t="str">
        <f t="shared" si="18"/>
        <v xml:space="preserve">156, </v>
      </c>
    </row>
    <row r="75" spans="5:14" x14ac:dyDescent="0.35">
      <c r="E75" s="20">
        <v>5600000</v>
      </c>
      <c r="F75" s="8">
        <f t="shared" si="11"/>
        <v>6200000</v>
      </c>
      <c r="G75" s="11">
        <f t="shared" si="12"/>
        <v>6200000</v>
      </c>
      <c r="H75" s="6">
        <f t="shared" si="13"/>
        <v>23</v>
      </c>
      <c r="I75" s="11">
        <f t="shared" si="14"/>
        <v>189.208984375</v>
      </c>
      <c r="J75" s="16">
        <f t="shared" si="15"/>
        <v>189</v>
      </c>
      <c r="K75" s="17">
        <f t="shared" si="16"/>
        <v>1.1057374338623305E-3</v>
      </c>
      <c r="L75" s="6" t="str">
        <f t="shared" si="17"/>
        <v/>
      </c>
      <c r="M75" s="7" t="str">
        <f t="shared" si="10"/>
        <v/>
      </c>
      <c r="N75" s="19" t="str">
        <f t="shared" si="18"/>
        <v xml:space="preserve">188, </v>
      </c>
    </row>
    <row r="76" spans="5:14" x14ac:dyDescent="0.35">
      <c r="E76" s="20">
        <v>6800000</v>
      </c>
      <c r="F76" s="8">
        <f t="shared" si="11"/>
        <v>7500000</v>
      </c>
      <c r="G76" s="11">
        <f t="shared" si="12"/>
        <v>7500000</v>
      </c>
      <c r="H76" s="6">
        <f t="shared" si="13"/>
        <v>23</v>
      </c>
      <c r="I76" s="11">
        <f t="shared" si="14"/>
        <v>228.8818359375</v>
      </c>
      <c r="J76" s="16">
        <f t="shared" si="15"/>
        <v>229</v>
      </c>
      <c r="K76" s="17">
        <f t="shared" si="16"/>
        <v>-5.1600027292575401E-4</v>
      </c>
      <c r="L76" s="6" t="str">
        <f t="shared" si="17"/>
        <v/>
      </c>
      <c r="M76" s="7" t="str">
        <f t="shared" si="10"/>
        <v/>
      </c>
      <c r="N76" s="19" t="str">
        <f t="shared" si="18"/>
        <v xml:space="preserve">228, 
</v>
      </c>
    </row>
    <row r="77" spans="5:14" x14ac:dyDescent="0.35">
      <c r="E77" s="20">
        <v>8200000</v>
      </c>
      <c r="F77" s="8">
        <f t="shared" si="11"/>
        <v>9100000</v>
      </c>
      <c r="G77" s="11">
        <f t="shared" si="12"/>
        <v>9100000</v>
      </c>
      <c r="H77" s="6">
        <f t="shared" si="13"/>
        <v>24</v>
      </c>
      <c r="I77" s="11">
        <f t="shared" si="14"/>
        <v>138.85498046875</v>
      </c>
      <c r="J77" s="16">
        <f t="shared" si="15"/>
        <v>139</v>
      </c>
      <c r="K77" s="17">
        <f t="shared" si="16"/>
        <v>-1.0433059802158473E-3</v>
      </c>
      <c r="L77" s="6">
        <f t="shared" si="17"/>
        <v>72</v>
      </c>
      <c r="M77" s="7" t="str">
        <f t="shared" si="10"/>
        <v xml:space="preserve">90, </v>
      </c>
      <c r="N77" s="19" t="str">
        <f t="shared" si="18"/>
        <v xml:space="preserve">138, </v>
      </c>
    </row>
    <row r="78" spans="5:14" x14ac:dyDescent="0.35">
      <c r="E78" s="20">
        <v>10000000</v>
      </c>
      <c r="F78" s="8">
        <f t="shared" si="11"/>
        <v>11000000</v>
      </c>
      <c r="G78" s="11">
        <f t="shared" si="12"/>
        <v>11000000</v>
      </c>
      <c r="H78" s="6">
        <f t="shared" si="13"/>
        <v>24</v>
      </c>
      <c r="I78" s="11">
        <f t="shared" si="14"/>
        <v>167.8466796875</v>
      </c>
      <c r="J78" s="16">
        <f t="shared" si="15"/>
        <v>168</v>
      </c>
      <c r="K78" s="17">
        <f t="shared" si="16"/>
        <v>-9.1262090773813753E-4</v>
      </c>
      <c r="L78" s="6" t="str">
        <f t="shared" si="17"/>
        <v/>
      </c>
      <c r="M78" s="7" t="str">
        <f t="shared" si="10"/>
        <v/>
      </c>
      <c r="N78" s="19" t="str">
        <f t="shared" si="18"/>
        <v xml:space="preserve">167, 
</v>
      </c>
    </row>
    <row r="79" spans="5:14" x14ac:dyDescent="0.35">
      <c r="E79" s="20">
        <v>12000000</v>
      </c>
      <c r="H79" s="6"/>
      <c r="L79" s="6">
        <f t="shared" si="17"/>
        <v>74</v>
      </c>
      <c r="M79" s="7" t="str">
        <f t="shared" si="10"/>
        <v xml:space="preserve">92, </v>
      </c>
      <c r="N79" s="19" t="str">
        <f t="shared" si="18"/>
        <v xml:space="preserve">255
</v>
      </c>
    </row>
    <row r="80" spans="5:14" x14ac:dyDescent="0.35">
      <c r="H80" s="6"/>
    </row>
    <row r="81" spans="8:8" x14ac:dyDescent="0.35">
      <c r="H81" s="6"/>
    </row>
    <row r="82" spans="8:8" x14ac:dyDescent="0.35">
      <c r="H82" s="6"/>
    </row>
    <row r="83" spans="8:8" x14ac:dyDescent="0.35">
      <c r="H83" s="6"/>
    </row>
  </sheetData>
  <sortState ref="E5">
    <sortCondition ref="E5"/>
  </sortState>
  <mergeCells count="8">
    <mergeCell ref="B15:C15"/>
    <mergeCell ref="P5:P43"/>
    <mergeCell ref="B16:C16"/>
    <mergeCell ref="H3:K3"/>
    <mergeCell ref="B3:C3"/>
    <mergeCell ref="E3:G3"/>
    <mergeCell ref="B12:C12"/>
    <mergeCell ref="L3:P3"/>
  </mergeCell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cp:lastModifiedBy>
  <dcterms:created xsi:type="dcterms:W3CDTF">2020-12-14T18:39:49Z</dcterms:created>
  <dcterms:modified xsi:type="dcterms:W3CDTF">2021-01-12T12:09:47Z</dcterms:modified>
</cp:coreProperties>
</file>