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d\Dokumente\codebase\avr-quantizer\"/>
    </mc:Choice>
  </mc:AlternateContent>
  <xr:revisionPtr revIDLastSave="0" documentId="13_ncr:1_{18E97E24-3BF8-4282-94C5-CB02F9229F4B}" xr6:coauthVersionLast="36" xr6:coauthVersionMax="36" xr10:uidLastSave="{00000000-0000-0000-0000-000000000000}"/>
  <bookViews>
    <workbookView xWindow="8790" yWindow="0" windowWidth="29610" windowHeight="18320" xr2:uid="{F31E432E-1247-4F18-8B99-AC2EE1672703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6" i="1" l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5" i="1"/>
  <c r="P5" i="1"/>
  <c r="F19" i="1" l="1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20" i="1"/>
  <c r="F21" i="1"/>
  <c r="F22" i="1"/>
  <c r="F23" i="1"/>
  <c r="F24" i="1"/>
  <c r="F25" i="1"/>
  <c r="F26" i="1"/>
  <c r="F5" i="1"/>
  <c r="N4" i="1"/>
  <c r="M4" i="1"/>
  <c r="C13" i="1" l="1"/>
  <c r="G19" i="1" s="1"/>
  <c r="G23" i="1" l="1"/>
  <c r="G10" i="1"/>
  <c r="G13" i="1"/>
  <c r="G21" i="1"/>
  <c r="G26" i="1"/>
  <c r="G9" i="1"/>
  <c r="G17" i="1"/>
  <c r="G25" i="1"/>
  <c r="G18" i="1"/>
  <c r="G12" i="1"/>
  <c r="G20" i="1"/>
  <c r="G11" i="1"/>
  <c r="G16" i="1"/>
  <c r="G8" i="1"/>
  <c r="G7" i="1"/>
  <c r="G14" i="1"/>
  <c r="G22" i="1"/>
  <c r="G6" i="1"/>
  <c r="G15" i="1"/>
  <c r="G24" i="1"/>
  <c r="G5" i="1"/>
  <c r="H5" i="1" s="1"/>
  <c r="H26" i="1" l="1"/>
  <c r="H13" i="1"/>
  <c r="I13" i="1" s="1"/>
  <c r="H12" i="1"/>
  <c r="H21" i="1"/>
  <c r="H11" i="1"/>
  <c r="I11" i="1" s="1"/>
  <c r="H10" i="1"/>
  <c r="I10" i="1" s="1"/>
  <c r="H24" i="1"/>
  <c r="H19" i="1"/>
  <c r="I19" i="1" s="1"/>
  <c r="H25" i="1"/>
  <c r="I25" i="1" s="1"/>
  <c r="H22" i="1"/>
  <c r="I22" i="1" s="1"/>
  <c r="H8" i="1"/>
  <c r="I8" i="1" s="1"/>
  <c r="H16" i="1"/>
  <c r="I16" i="1" s="1"/>
  <c r="H17" i="1"/>
  <c r="H14" i="1"/>
  <c r="H18" i="1"/>
  <c r="I18" i="1" s="1"/>
  <c r="H15" i="1"/>
  <c r="I15" i="1" s="1"/>
  <c r="H7" i="1"/>
  <c r="H6" i="1"/>
  <c r="I6" i="1" s="1"/>
  <c r="H20" i="1"/>
  <c r="I20" i="1" s="1"/>
  <c r="H9" i="1"/>
  <c r="H23" i="1"/>
  <c r="I23" i="1" s="1"/>
  <c r="I5" i="1"/>
  <c r="J5" i="1" s="1"/>
  <c r="L5" i="1"/>
  <c r="L27" i="1" l="1"/>
  <c r="L8" i="1"/>
  <c r="M8" i="1" s="1"/>
  <c r="L13" i="1"/>
  <c r="L10" i="1"/>
  <c r="L25" i="1"/>
  <c r="M25" i="1" s="1"/>
  <c r="L22" i="1"/>
  <c r="L24" i="1"/>
  <c r="L18" i="1"/>
  <c r="I24" i="1"/>
  <c r="J24" i="1" s="1"/>
  <c r="L15" i="1"/>
  <c r="L7" i="1"/>
  <c r="M7" i="1" s="1"/>
  <c r="L20" i="1"/>
  <c r="L11" i="1"/>
  <c r="M11" i="1" s="1"/>
  <c r="J20" i="1"/>
  <c r="L23" i="1"/>
  <c r="M23" i="1" s="1"/>
  <c r="I9" i="1"/>
  <c r="I7" i="1"/>
  <c r="I14" i="1"/>
  <c r="I17" i="1"/>
  <c r="L17" i="1"/>
  <c r="L6" i="1"/>
  <c r="I12" i="1"/>
  <c r="J6" i="1"/>
  <c r="J10" i="1"/>
  <c r="J25" i="1"/>
  <c r="L14" i="1"/>
  <c r="M14" i="1" s="1"/>
  <c r="J19" i="1"/>
  <c r="J16" i="1"/>
  <c r="J15" i="1"/>
  <c r="J8" i="1"/>
  <c r="L16" i="1"/>
  <c r="M16" i="1" s="1"/>
  <c r="L9" i="1"/>
  <c r="M9" i="1" s="1"/>
  <c r="L26" i="1"/>
  <c r="L12" i="1"/>
  <c r="M12" i="1" s="1"/>
  <c r="J23" i="1"/>
  <c r="J22" i="1"/>
  <c r="J11" i="1"/>
  <c r="J13" i="1"/>
  <c r="L21" i="1"/>
  <c r="M21" i="1" s="1"/>
  <c r="J18" i="1"/>
  <c r="L19" i="1"/>
  <c r="I21" i="1"/>
  <c r="I26" i="1"/>
  <c r="K5" i="1"/>
  <c r="M27" i="1" l="1"/>
  <c r="M18" i="1"/>
  <c r="M22" i="1"/>
  <c r="M26" i="1"/>
  <c r="M15" i="1"/>
  <c r="M19" i="1"/>
  <c r="K11" i="1"/>
  <c r="K15" i="1"/>
  <c r="K13" i="1"/>
  <c r="K16" i="1"/>
  <c r="K6" i="1"/>
  <c r="K23" i="1"/>
  <c r="M20" i="1"/>
  <c r="J9" i="1"/>
  <c r="K22" i="1"/>
  <c r="J12" i="1"/>
  <c r="M13" i="1"/>
  <c r="M17" i="1"/>
  <c r="J21" i="1"/>
  <c r="K25" i="1"/>
  <c r="K24" i="1"/>
  <c r="K8" i="1"/>
  <c r="K19" i="1"/>
  <c r="K10" i="1"/>
  <c r="J17" i="1"/>
  <c r="K20" i="1"/>
  <c r="M6" i="1"/>
  <c r="M24" i="1"/>
  <c r="J14" i="1"/>
  <c r="J26" i="1"/>
  <c r="K18" i="1"/>
  <c r="M10" i="1"/>
  <c r="J7" i="1"/>
  <c r="M5" i="1"/>
  <c r="B16" i="1" l="1"/>
  <c r="K26" i="1"/>
  <c r="K21" i="1"/>
  <c r="K14" i="1"/>
  <c r="K7" i="1"/>
  <c r="K17" i="1"/>
  <c r="K9" i="1"/>
  <c r="K1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Dennis</author>
  </authors>
  <commentList>
    <comment ref="E4" authorId="0" shapeId="0" xr:uid="{078E5A18-D6A7-429D-B20D-7DE0290EF55F}">
      <text>
        <r>
          <rPr>
            <sz val="9"/>
            <color indexed="81"/>
            <rFont val="Tahoma"/>
            <family val="2"/>
          </rPr>
          <t>input your values here;
they must be sorted from low to high</t>
        </r>
      </text>
    </comment>
    <comment ref="F4" authorId="0" shapeId="0" xr:uid="{43BE95AA-46B5-4C41-8B7B-4D5E0EF7AF23}">
      <text>
        <r>
          <rPr>
            <sz val="9"/>
            <color indexed="81"/>
            <rFont val="Tahoma"/>
            <family val="2"/>
          </rPr>
          <t>for this example thresholds are calculated based on the linear avarage between the current and the next value; you may change the formula to suit your needs</t>
        </r>
      </text>
    </comment>
    <comment ref="M4" authorId="0" shapeId="0" xr:uid="{BACA83B0-9933-456F-840E-B8FE494034E0}">
      <text>
        <r>
          <rPr>
            <sz val="9"/>
            <color indexed="81"/>
            <rFont val="Tahoma"/>
            <family val="2"/>
          </rPr>
          <t>"// " required to turn this into a comment in the C-code</t>
        </r>
      </text>
    </comment>
    <comment ref="E5" authorId="0" shapeId="0" xr:uid="{D3968C6E-5139-47AB-A4F4-576835377D18}">
      <text>
        <r>
          <rPr>
            <sz val="9"/>
            <color indexed="81"/>
            <rFont val="Tahoma"/>
            <family val="2"/>
          </rPr>
          <t>lower bound of lowest non-zero bin</t>
        </r>
      </text>
    </comment>
    <comment ref="B9" authorId="0" shapeId="0" xr:uid="{BC21847F-AE55-456A-8EE6-2B0E9338781B}">
      <text>
        <r>
          <rPr>
            <sz val="9"/>
            <color indexed="81"/>
            <rFont val="Tahoma"/>
            <family val="2"/>
          </rPr>
          <t>enter scale manually or enter "auto" for automatic calculation</t>
        </r>
      </text>
    </comment>
    <comment ref="E27" authorId="0" shapeId="0" xr:uid="{BB14795C-F4AD-4778-AC25-CBEA4ADD563F}">
      <text>
        <r>
          <rPr>
            <sz val="9"/>
            <color indexed="81"/>
            <rFont val="Tahoma"/>
            <family val="2"/>
          </rPr>
          <t>higher bound of highest non-max value</t>
        </r>
      </text>
    </comment>
    <comment ref="L27" authorId="0" shapeId="0" xr:uid="{6FE85AC2-FBCF-4D79-BE95-7C69B7593676}">
      <text>
        <r>
          <rPr>
            <sz val="9"/>
            <color indexed="81"/>
            <rFont val="Tahoma"/>
            <family val="2"/>
          </rPr>
          <t>this value does not point to any data, but to the end of the data array+1; IT IS REQUIRED FOR CORRECT OPRERATION</t>
        </r>
      </text>
    </comment>
    <comment ref="M27" authorId="0" shapeId="0" xr:uid="{DFCC77C0-97D7-43A3-BDB6-A793A4F73FE6}">
      <text>
        <r>
          <rPr>
            <sz val="9"/>
            <color indexed="81"/>
            <rFont val="Tahoma"/>
            <family val="2"/>
          </rPr>
          <t>this value does not point to any data, but to the end of the data array+1; IT IS REQUIRED FOR CORRECT OPRERATION</t>
        </r>
      </text>
    </comment>
  </commentList>
</comments>
</file>

<file path=xl/sharedStrings.xml><?xml version="1.0" encoding="utf-8"?>
<sst xmlns="http://schemas.openxmlformats.org/spreadsheetml/2006/main" count="23" uniqueCount="21">
  <si>
    <t>error</t>
  </si>
  <si>
    <t>scale</t>
  </si>
  <si>
    <t>scaled</t>
  </si>
  <si>
    <t>thresholds</t>
  </si>
  <si>
    <t>inputs</t>
  </si>
  <si>
    <t>values</t>
  </si>
  <si>
    <t>ideal</t>
  </si>
  <si>
    <t>round</t>
  </si>
  <si>
    <t>output</t>
  </si>
  <si>
    <t>name</t>
  </si>
  <si>
    <t>byte lut</t>
  </si>
  <si>
    <t>user config</t>
  </si>
  <si>
    <t>param</t>
  </si>
  <si>
    <t>byte in</t>
  </si>
  <si>
    <t>value</t>
  </si>
  <si>
    <t>bits</t>
  </si>
  <si>
    <t>formula inputs</t>
  </si>
  <si>
    <t>offset</t>
  </si>
  <si>
    <t>variable declaration preview</t>
  </si>
  <si>
    <t>generated LUT (copy this)</t>
  </si>
  <si>
    <t>E12_1K47K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</si>
</sst>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9"/>
      <color indexed="81"/>
      <name val="Tahoma"/>
      <family val="2"/>
    </font>
    <font>
      <b/>
      <sz val="11"/>
      <color rgb="FF3F3F3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3" fillId="2" borderId="2" applyNumberFormat="0" applyAlignment="0" applyProtection="0"/>
    <xf numFmtId="0" fontId="6" fillId="3" borderId="2" applyNumberFormat="0" applyAlignment="0" applyProtection="0"/>
    <xf numFmtId="0" fontId="8" fillId="3" borderId="8" applyNumberFormat="0" applyAlignment="0" applyProtection="0"/>
  </cellStyleXfs>
  <cellXfs count="29">
    <xf numFmtId="0" fontId="0" fillId="0" borderId="0" xfId="0"/>
    <xf numFmtId="0" fontId="2" fillId="0" borderId="1" xfId="2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0" fontId="6" fillId="3" borderId="2" xfId="4" applyAlignment="1">
      <alignment horizontal="right"/>
    </xf>
    <xf numFmtId="0" fontId="5" fillId="2" borderId="2" xfId="3" applyFont="1" applyAlignment="1">
      <alignment horizontal="righ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1" fontId="0" fillId="0" borderId="0" xfId="0" applyNumberFormat="1"/>
    <xf numFmtId="165" fontId="0" fillId="0" borderId="0" xfId="1" applyNumberFormat="1" applyFont="1"/>
    <xf numFmtId="0" fontId="4" fillId="0" borderId="6" xfId="0" applyFont="1" applyBorder="1" applyAlignment="1">
      <alignment horizontal="center"/>
    </xf>
    <xf numFmtId="9" fontId="0" fillId="0" borderId="0" xfId="1" applyNumberFormat="1" applyFont="1" applyAlignment="1">
      <alignment horizontal="right"/>
    </xf>
    <xf numFmtId="0" fontId="5" fillId="2" borderId="2" xfId="3" applyFont="1"/>
    <xf numFmtId="0" fontId="0" fillId="0" borderId="0" xfId="0" applyAlignment="1">
      <alignment horizontal="right" wrapText="1"/>
    </xf>
    <xf numFmtId="0" fontId="4" fillId="0" borderId="0" xfId="0" applyFont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8" fillId="3" borderId="8" xfId="5" applyAlignment="1">
      <alignment horizontal="left" wrapText="1"/>
    </xf>
    <xf numFmtId="0" fontId="4" fillId="0" borderId="7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6">
    <cellStyle name="Calculation" xfId="4" builtinId="22"/>
    <cellStyle name="Heading 2" xfId="2" builtinId="17"/>
    <cellStyle name="Input" xfId="3" builtinId="20"/>
    <cellStyle name="Normal" xfId="0" builtinId="0"/>
    <cellStyle name="Output" xfId="5" builtinId="21"/>
    <cellStyle name="Percent" xfId="1" builtinId="5"/>
  </cellStyles>
  <dxfs count="0"/>
  <tableStyles count="0" defaultTableStyle="TableStyleMedium2" defaultPivotStyle="PivotStyleLight16"/>
  <colors>
    <mruColors>
      <color rgb="FFF8696B"/>
      <color rgb="FFFFEB84"/>
      <color rgb="FF63BE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72B51-097A-4F0D-94C8-36FB4DE8AA5D}">
  <dimension ref="A1:R48"/>
  <sheetViews>
    <sheetView tabSelected="1" workbookViewId="0">
      <selection activeCell="N31" sqref="N31"/>
    </sheetView>
  </sheetViews>
  <sheetFormatPr defaultRowHeight="14.5" x14ac:dyDescent="0.35"/>
  <cols>
    <col min="1" max="1" width="4.36328125" style="6" customWidth="1"/>
    <col min="2" max="3" width="16.7265625" style="6" customWidth="1"/>
    <col min="4" max="4" width="2.81640625" style="6" customWidth="1"/>
    <col min="5" max="5" width="11.08984375" style="6" customWidth="1"/>
    <col min="6" max="11" width="11.08984375" customWidth="1"/>
    <col min="12" max="12" width="11.08984375" style="6" customWidth="1"/>
    <col min="13" max="14" width="11.08984375" customWidth="1"/>
    <col min="15" max="15" width="2.81640625" customWidth="1"/>
    <col min="16" max="16" width="40.90625" bestFit="1" customWidth="1"/>
  </cols>
  <sheetData>
    <row r="1" spans="1:16" s="1" customFormat="1" ht="17.5" thickBot="1" x14ac:dyDescent="0.45"/>
    <row r="2" spans="1:16" ht="15" thickTop="1" x14ac:dyDescent="0.35"/>
    <row r="3" spans="1:16" s="5" customFormat="1" x14ac:dyDescent="0.35">
      <c r="A3" s="10"/>
      <c r="B3" s="22" t="s">
        <v>11</v>
      </c>
      <c r="C3" s="22"/>
      <c r="D3" s="10"/>
      <c r="E3" s="26" t="s">
        <v>4</v>
      </c>
      <c r="F3" s="27"/>
      <c r="G3" s="28"/>
      <c r="H3" s="26" t="s">
        <v>5</v>
      </c>
      <c r="I3" s="27"/>
      <c r="J3" s="27"/>
      <c r="K3" s="27"/>
      <c r="L3" s="26" t="s">
        <v>8</v>
      </c>
      <c r="M3" s="27"/>
      <c r="N3" s="27"/>
      <c r="O3" s="27"/>
      <c r="P3" s="27"/>
    </row>
    <row r="4" spans="1:16" s="5" customFormat="1" ht="15" thickBot="1" x14ac:dyDescent="0.4">
      <c r="A4" s="10"/>
      <c r="B4" s="9" t="s">
        <v>12</v>
      </c>
      <c r="C4" s="9" t="s">
        <v>14</v>
      </c>
      <c r="D4" s="9"/>
      <c r="E4" s="18" t="s">
        <v>5</v>
      </c>
      <c r="F4" s="4" t="s">
        <v>3</v>
      </c>
      <c r="G4" s="4" t="s">
        <v>2</v>
      </c>
      <c r="H4" s="18" t="s">
        <v>15</v>
      </c>
      <c r="I4" s="4" t="s">
        <v>6</v>
      </c>
      <c r="J4" s="4" t="s">
        <v>7</v>
      </c>
      <c r="K4" s="4" t="s">
        <v>0</v>
      </c>
      <c r="L4" s="18" t="s">
        <v>17</v>
      </c>
      <c r="M4" s="4" t="str">
        <f xml:space="preserve"> "// header"&amp;CHAR(10)</f>
        <v xml:space="preserve">// header
</v>
      </c>
      <c r="N4" s="9" t="str">
        <f xml:space="preserve"> "// data"&amp;CHAR(10)</f>
        <v xml:space="preserve">// data
</v>
      </c>
      <c r="O4" s="9"/>
      <c r="P4" s="9" t="s">
        <v>18</v>
      </c>
    </row>
    <row r="5" spans="1:16" s="10" customFormat="1" ht="14.5" customHeight="1" x14ac:dyDescent="0.35">
      <c r="B5" s="14"/>
      <c r="C5" s="15"/>
      <c r="E5" s="20">
        <v>820</v>
      </c>
      <c r="F5" s="8">
        <f>E5-(E5-E6)/2</f>
        <v>910</v>
      </c>
      <c r="G5" s="11">
        <f>F5/(2^$C$13)</f>
        <v>28.4375</v>
      </c>
      <c r="H5" s="6">
        <f>IF(CEILING(LOG(G5+1,2),1)&lt;$C$8*8,$C$8*8,CEILING(LOG(G5+1,2),1))</f>
        <v>8</v>
      </c>
      <c r="I5" s="11">
        <f>G5/2^(H5-($C$8*8))</f>
        <v>28.4375</v>
      </c>
      <c r="J5" s="16">
        <f>ROUND(I5,0)</f>
        <v>28</v>
      </c>
      <c r="K5" s="17">
        <f>I5/J5-1</f>
        <v>1.5625E-2</v>
      </c>
      <c r="L5" s="6">
        <f>IF($H4&lt;&gt;$H5,ROW($H5)-ROW($H$5),"")</f>
        <v>0</v>
      </c>
      <c r="M5" s="7" t="str">
        <f>IF(L5&lt;&gt;"",L5+COUNT(L:L)&amp;", ","")</f>
        <v xml:space="preserve">5, </v>
      </c>
      <c r="N5" s="19" t="str">
        <f>IF(J5&lt;&gt;"",J5-1&amp;", "&amp;IF($H5&lt;&gt;$H6,CHAR(10),""),256^$C$8-1&amp;CHAR(10))</f>
        <v xml:space="preserve">27, </v>
      </c>
      <c r="O5" s="19"/>
      <c r="P5" s="23" t="str">
        <f>"const __flash uint"&amp;$C$8*8&amp;"_t "&amp;"lut"&amp;$C$7*8&amp;"_"&amp;$C$6&amp;"["&amp;COUNT($J:$J)+1+COUNT($L:$L)&amp;"] ="&amp;CHAR(10)&amp;"{"&amp;CHAR(10)&amp;_xlfn.CONCAT($M:$M)&amp;CHAR(10)&amp;CHAR(10)&amp;_xlfn.CONCAT($N:$N)&amp;"};"</f>
        <v>const __flash uint8_t lut16_E12_1K47K[28] =
{
// header
5, 17, 20, 24, 27, 
// data
27, 33, 41, 51, 62, 76, 93, 112, 133, 160, 193, 233, 
141, 171, 210, 
128, 155, 190, 233, 
140, 167, 200, 
255
};</v>
      </c>
    </row>
    <row r="6" spans="1:16" s="2" customFormat="1" ht="14.5" customHeight="1" x14ac:dyDescent="0.35">
      <c r="A6" s="7"/>
      <c r="B6" s="3" t="s">
        <v>9</v>
      </c>
      <c r="C6" s="13" t="s">
        <v>20</v>
      </c>
      <c r="D6" s="7"/>
      <c r="E6" s="20">
        <v>1000</v>
      </c>
      <c r="F6" s="8">
        <f t="shared" ref="F6:F26" si="0">E6-(E6-E7)/2</f>
        <v>1100</v>
      </c>
      <c r="G6" s="11">
        <f t="shared" ref="G6:G26" si="1">F6/(2^$C$13)</f>
        <v>34.375</v>
      </c>
      <c r="H6" s="6">
        <f t="shared" ref="H6:H26" si="2">IF(CEILING(LOG(G6+1,2),1)&lt;$C$8*8,$C$8*8,CEILING(LOG(G6+1,2),1))</f>
        <v>8</v>
      </c>
      <c r="I6" s="11">
        <f t="shared" ref="I6:I26" si="3">G6/2^(H6-($C$8*8))</f>
        <v>34.375</v>
      </c>
      <c r="J6" s="16">
        <f t="shared" ref="J6:J26" si="4">ROUND(I6,0)</f>
        <v>34</v>
      </c>
      <c r="K6" s="17">
        <f t="shared" ref="K6:K26" si="5">I6/J6-1</f>
        <v>1.1029411764705843E-2</v>
      </c>
      <c r="L6" s="6" t="str">
        <f t="shared" ref="L6:L27" si="6">IF($H5&lt;&gt;$H6,ROW($H6)-ROW($H$5),"")</f>
        <v/>
      </c>
      <c r="M6" s="7" t="str">
        <f>IF(L6&lt;&gt;"",L6+COUNT(L:L)&amp;", ","")</f>
        <v/>
      </c>
      <c r="N6" s="19" t="str">
        <f t="shared" ref="N6:N27" si="7">IF(J6&lt;&gt;"",J6-1&amp;", "&amp;IF($H6&lt;&gt;$H7,CHAR(10),""),256^$C$8-1&amp;CHAR(10))</f>
        <v xml:space="preserve">33, </v>
      </c>
      <c r="O6" s="19"/>
      <c r="P6" s="24"/>
    </row>
    <row r="7" spans="1:16" s="2" customFormat="1" x14ac:dyDescent="0.35">
      <c r="A7" s="7"/>
      <c r="B7" s="3" t="s">
        <v>13</v>
      </c>
      <c r="C7" s="13">
        <v>2</v>
      </c>
      <c r="D7" s="7"/>
      <c r="E7" s="20">
        <v>1200</v>
      </c>
      <c r="F7" s="8">
        <f t="shared" si="0"/>
        <v>1350</v>
      </c>
      <c r="G7" s="11">
        <f t="shared" si="1"/>
        <v>42.1875</v>
      </c>
      <c r="H7" s="6">
        <f t="shared" si="2"/>
        <v>8</v>
      </c>
      <c r="I7" s="11">
        <f t="shared" si="3"/>
        <v>42.1875</v>
      </c>
      <c r="J7" s="16">
        <f t="shared" si="4"/>
        <v>42</v>
      </c>
      <c r="K7" s="17">
        <f t="shared" si="5"/>
        <v>4.4642857142858094E-3</v>
      </c>
      <c r="L7" s="6" t="str">
        <f t="shared" si="6"/>
        <v/>
      </c>
      <c r="M7" s="7" t="str">
        <f>IF(L7&lt;&gt;"",L7+COUNT(L:L)&amp;", ","")</f>
        <v/>
      </c>
      <c r="N7" s="19" t="str">
        <f t="shared" si="7"/>
        <v xml:space="preserve">41, </v>
      </c>
      <c r="O7" s="19"/>
      <c r="P7" s="24"/>
    </row>
    <row r="8" spans="1:16" s="2" customFormat="1" x14ac:dyDescent="0.35">
      <c r="A8" s="7"/>
      <c r="B8" s="3" t="s">
        <v>10</v>
      </c>
      <c r="C8" s="13">
        <v>1</v>
      </c>
      <c r="D8" s="7"/>
      <c r="E8" s="20">
        <v>1500</v>
      </c>
      <c r="F8" s="8">
        <f t="shared" si="0"/>
        <v>1650</v>
      </c>
      <c r="G8" s="11">
        <f t="shared" si="1"/>
        <v>51.5625</v>
      </c>
      <c r="H8" s="6">
        <f t="shared" si="2"/>
        <v>8</v>
      </c>
      <c r="I8" s="11">
        <f t="shared" si="3"/>
        <v>51.5625</v>
      </c>
      <c r="J8" s="16">
        <f t="shared" si="4"/>
        <v>52</v>
      </c>
      <c r="K8" s="17">
        <f t="shared" si="5"/>
        <v>-8.4134615384615641E-3</v>
      </c>
      <c r="L8" s="6" t="str">
        <f t="shared" si="6"/>
        <v/>
      </c>
      <c r="M8" s="7" t="str">
        <f>IF(L8&lt;&gt;"",L8+COUNT(L:L)&amp;", ","")</f>
        <v/>
      </c>
      <c r="N8" s="19" t="str">
        <f t="shared" si="7"/>
        <v xml:space="preserve">51, </v>
      </c>
      <c r="O8" s="19"/>
      <c r="P8" s="24"/>
    </row>
    <row r="9" spans="1:16" s="2" customFormat="1" x14ac:dyDescent="0.35">
      <c r="A9" s="7"/>
      <c r="B9" s="3" t="s">
        <v>1</v>
      </c>
      <c r="C9" s="13">
        <v>5</v>
      </c>
      <c r="D9" s="7"/>
      <c r="E9" s="20">
        <v>1800</v>
      </c>
      <c r="F9" s="8">
        <f t="shared" si="0"/>
        <v>2000</v>
      </c>
      <c r="G9" s="11">
        <f t="shared" si="1"/>
        <v>62.5</v>
      </c>
      <c r="H9" s="6">
        <f t="shared" si="2"/>
        <v>8</v>
      </c>
      <c r="I9" s="11">
        <f t="shared" si="3"/>
        <v>62.5</v>
      </c>
      <c r="J9" s="16">
        <f t="shared" si="4"/>
        <v>63</v>
      </c>
      <c r="K9" s="17">
        <f t="shared" si="5"/>
        <v>-7.9365079365079083E-3</v>
      </c>
      <c r="L9" s="6" t="str">
        <f t="shared" si="6"/>
        <v/>
      </c>
      <c r="M9" s="7" t="str">
        <f>IF(L9&lt;&gt;"",L9+COUNT(L:L)&amp;", ","")</f>
        <v/>
      </c>
      <c r="N9" s="19" t="str">
        <f t="shared" si="7"/>
        <v xml:space="preserve">62, </v>
      </c>
      <c r="O9" s="19"/>
      <c r="P9" s="24"/>
    </row>
    <row r="10" spans="1:16" s="2" customFormat="1" x14ac:dyDescent="0.35">
      <c r="A10" s="7"/>
      <c r="B10" s="3"/>
      <c r="C10" s="7"/>
      <c r="D10" s="7"/>
      <c r="E10" s="20">
        <v>2200</v>
      </c>
      <c r="F10" s="8">
        <f t="shared" si="0"/>
        <v>2450</v>
      </c>
      <c r="G10" s="11">
        <f t="shared" si="1"/>
        <v>76.5625</v>
      </c>
      <c r="H10" s="6">
        <f t="shared" si="2"/>
        <v>8</v>
      </c>
      <c r="I10" s="11">
        <f t="shared" si="3"/>
        <v>76.5625</v>
      </c>
      <c r="J10" s="16">
        <f t="shared" si="4"/>
        <v>77</v>
      </c>
      <c r="K10" s="17">
        <f t="shared" si="5"/>
        <v>-5.6818181818182323E-3</v>
      </c>
      <c r="L10" s="6" t="str">
        <f t="shared" si="6"/>
        <v/>
      </c>
      <c r="M10" s="7" t="str">
        <f>IF(L10&lt;&gt;"",L10+COUNT(L:L)&amp;", ","")</f>
        <v/>
      </c>
      <c r="N10" s="19" t="str">
        <f t="shared" si="7"/>
        <v xml:space="preserve">76, </v>
      </c>
      <c r="O10" s="19"/>
      <c r="P10" s="24"/>
    </row>
    <row r="11" spans="1:16" s="2" customFormat="1" x14ac:dyDescent="0.35">
      <c r="A11" s="7"/>
      <c r="B11" s="3"/>
      <c r="C11" s="7"/>
      <c r="D11" s="7"/>
      <c r="E11" s="20">
        <v>2700</v>
      </c>
      <c r="F11" s="8">
        <f t="shared" si="0"/>
        <v>3000</v>
      </c>
      <c r="G11" s="11">
        <f t="shared" si="1"/>
        <v>93.75</v>
      </c>
      <c r="H11" s="6">
        <f t="shared" si="2"/>
        <v>8</v>
      </c>
      <c r="I11" s="11">
        <f t="shared" si="3"/>
        <v>93.75</v>
      </c>
      <c r="J11" s="16">
        <f t="shared" si="4"/>
        <v>94</v>
      </c>
      <c r="K11" s="17">
        <f t="shared" si="5"/>
        <v>-2.6595744680850686E-3</v>
      </c>
      <c r="L11" s="6" t="str">
        <f t="shared" si="6"/>
        <v/>
      </c>
      <c r="M11" s="7" t="str">
        <f>IF(L11&lt;&gt;"",L11+COUNT(L:L)&amp;", ","")</f>
        <v/>
      </c>
      <c r="N11" s="19" t="str">
        <f t="shared" si="7"/>
        <v xml:space="preserve">93, </v>
      </c>
      <c r="O11" s="19"/>
      <c r="P11" s="24"/>
    </row>
    <row r="12" spans="1:16" s="2" customFormat="1" x14ac:dyDescent="0.35">
      <c r="A12" s="7"/>
      <c r="B12" s="22" t="s">
        <v>16</v>
      </c>
      <c r="C12" s="22"/>
      <c r="D12" s="7"/>
      <c r="E12" s="20">
        <v>3300</v>
      </c>
      <c r="F12" s="8">
        <f t="shared" si="0"/>
        <v>3600</v>
      </c>
      <c r="G12" s="11">
        <f t="shared" si="1"/>
        <v>112.5</v>
      </c>
      <c r="H12" s="6">
        <f t="shared" si="2"/>
        <v>8</v>
      </c>
      <c r="I12" s="11">
        <f t="shared" si="3"/>
        <v>112.5</v>
      </c>
      <c r="J12" s="16">
        <f t="shared" si="4"/>
        <v>113</v>
      </c>
      <c r="K12" s="17">
        <f t="shared" si="5"/>
        <v>-4.4247787610619538E-3</v>
      </c>
      <c r="L12" s="6" t="str">
        <f t="shared" si="6"/>
        <v/>
      </c>
      <c r="M12" s="7" t="str">
        <f>IF(L12&lt;&gt;"",L12+COUNT(L:L)&amp;", ","")</f>
        <v/>
      </c>
      <c r="N12" s="19" t="str">
        <f t="shared" si="7"/>
        <v xml:space="preserve">112, </v>
      </c>
      <c r="O12" s="19"/>
      <c r="P12" s="24"/>
    </row>
    <row r="13" spans="1:16" s="2" customFormat="1" x14ac:dyDescent="0.35">
      <c r="A13" s="7"/>
      <c r="B13" s="3" t="s">
        <v>1</v>
      </c>
      <c r="C13" s="12">
        <f>IF($C$9&lt;&gt;"auto",$C$9,IF(CEILING(LOG(MAX($F:$F),2),1)-$C$7*8&lt;0,0,CEILING(LOG(MAX($F:$F),2),1)-$C$7*8))</f>
        <v>5</v>
      </c>
      <c r="D13" s="7"/>
      <c r="E13" s="20">
        <v>3900</v>
      </c>
      <c r="F13" s="8">
        <f t="shared" si="0"/>
        <v>4300</v>
      </c>
      <c r="G13" s="11">
        <f t="shared" si="1"/>
        <v>134.375</v>
      </c>
      <c r="H13" s="6">
        <f t="shared" si="2"/>
        <v>8</v>
      </c>
      <c r="I13" s="11">
        <f t="shared" si="3"/>
        <v>134.375</v>
      </c>
      <c r="J13" s="16">
        <f t="shared" si="4"/>
        <v>134</v>
      </c>
      <c r="K13" s="17">
        <f t="shared" si="5"/>
        <v>2.7985074626866169E-3</v>
      </c>
      <c r="L13" s="6" t="str">
        <f t="shared" si="6"/>
        <v/>
      </c>
      <c r="M13" s="7" t="str">
        <f>IF(L13&lt;&gt;"",L13+COUNT(L:L)&amp;", ","")</f>
        <v/>
      </c>
      <c r="N13" s="19" t="str">
        <f t="shared" si="7"/>
        <v xml:space="preserve">133, </v>
      </c>
      <c r="O13" s="19"/>
      <c r="P13" s="24"/>
    </row>
    <row r="14" spans="1:16" s="2" customFormat="1" x14ac:dyDescent="0.35">
      <c r="A14" s="7"/>
      <c r="B14" s="3"/>
      <c r="C14" s="7"/>
      <c r="D14" s="7"/>
      <c r="E14" s="20">
        <v>4700</v>
      </c>
      <c r="F14" s="8">
        <f t="shared" si="0"/>
        <v>5150</v>
      </c>
      <c r="G14" s="11">
        <f t="shared" si="1"/>
        <v>160.9375</v>
      </c>
      <c r="H14" s="6">
        <f t="shared" si="2"/>
        <v>8</v>
      </c>
      <c r="I14" s="11">
        <f t="shared" si="3"/>
        <v>160.9375</v>
      </c>
      <c r="J14" s="16">
        <f t="shared" si="4"/>
        <v>161</v>
      </c>
      <c r="K14" s="17">
        <f t="shared" si="5"/>
        <v>-3.8819875776396895E-4</v>
      </c>
      <c r="L14" s="6" t="str">
        <f t="shared" si="6"/>
        <v/>
      </c>
      <c r="M14" s="7" t="str">
        <f>IF(L14&lt;&gt;"",L14+COUNT(L:L)&amp;", ","")</f>
        <v/>
      </c>
      <c r="N14" s="19" t="str">
        <f t="shared" si="7"/>
        <v xml:space="preserve">160, </v>
      </c>
      <c r="O14" s="19"/>
      <c r="P14" s="24"/>
    </row>
    <row r="15" spans="1:16" s="2" customFormat="1" x14ac:dyDescent="0.35">
      <c r="A15" s="7"/>
      <c r="B15" s="22" t="s">
        <v>19</v>
      </c>
      <c r="C15" s="22"/>
      <c r="D15" s="7"/>
      <c r="E15" s="20">
        <v>5600</v>
      </c>
      <c r="F15" s="8">
        <f t="shared" si="0"/>
        <v>6200</v>
      </c>
      <c r="G15" s="11">
        <f t="shared" si="1"/>
        <v>193.75</v>
      </c>
      <c r="H15" s="6">
        <f t="shared" si="2"/>
        <v>8</v>
      </c>
      <c r="I15" s="11">
        <f t="shared" si="3"/>
        <v>193.75</v>
      </c>
      <c r="J15" s="16">
        <f t="shared" si="4"/>
        <v>194</v>
      </c>
      <c r="K15" s="17">
        <f t="shared" si="5"/>
        <v>-1.2886597938144284E-3</v>
      </c>
      <c r="L15" s="6" t="str">
        <f t="shared" si="6"/>
        <v/>
      </c>
      <c r="M15" s="7" t="str">
        <f>IF(L15&lt;&gt;"",L15+COUNT(L:L)&amp;", ","")</f>
        <v/>
      </c>
      <c r="N15" s="19" t="str">
        <f t="shared" si="7"/>
        <v xml:space="preserve">193, </v>
      </c>
      <c r="O15" s="19"/>
      <c r="P15" s="24"/>
    </row>
    <row r="16" spans="1:16" s="2" customFormat="1" x14ac:dyDescent="0.35">
      <c r="A16" s="7"/>
      <c r="B16" s="25" t="str">
        <f>$P$5</f>
        <v>const __flash uint8_t lut16_E12_1K47K[28] =
{
// header
5, 17, 20, 24, 27, 
// data
27, 33, 41, 51, 62, 76, 93, 112, 133, 160, 193, 233, 
141, 171, 210, 
128, 155, 190, 233, 
140, 167, 200, 
255
};</v>
      </c>
      <c r="C16" s="25"/>
      <c r="D16" s="7"/>
      <c r="E16" s="20">
        <v>6800</v>
      </c>
      <c r="F16" s="8">
        <f t="shared" si="0"/>
        <v>7500</v>
      </c>
      <c r="G16" s="11">
        <f t="shared" si="1"/>
        <v>234.375</v>
      </c>
      <c r="H16" s="6">
        <f t="shared" si="2"/>
        <v>8</v>
      </c>
      <c r="I16" s="11">
        <f t="shared" si="3"/>
        <v>234.375</v>
      </c>
      <c r="J16" s="16">
        <f t="shared" si="4"/>
        <v>234</v>
      </c>
      <c r="K16" s="17">
        <f t="shared" si="5"/>
        <v>1.6025641025640969E-3</v>
      </c>
      <c r="L16" s="6" t="str">
        <f t="shared" si="6"/>
        <v/>
      </c>
      <c r="M16" s="7" t="str">
        <f>IF(L16&lt;&gt;"",L16+COUNT(L:L)&amp;", ","")</f>
        <v/>
      </c>
      <c r="N16" s="19" t="str">
        <f t="shared" si="7"/>
        <v xml:space="preserve">233, 
</v>
      </c>
      <c r="O16" s="19"/>
      <c r="P16" s="24"/>
    </row>
    <row r="17" spans="1:16" s="2" customFormat="1" x14ac:dyDescent="0.35">
      <c r="A17" s="7"/>
      <c r="B17" s="3"/>
      <c r="C17" s="7"/>
      <c r="D17" s="7"/>
      <c r="E17" s="20">
        <v>8200</v>
      </c>
      <c r="F17" s="8">
        <f t="shared" si="0"/>
        <v>9100</v>
      </c>
      <c r="G17" s="11">
        <f t="shared" si="1"/>
        <v>284.375</v>
      </c>
      <c r="H17" s="6">
        <f t="shared" si="2"/>
        <v>9</v>
      </c>
      <c r="I17" s="11">
        <f t="shared" si="3"/>
        <v>142.1875</v>
      </c>
      <c r="J17" s="16">
        <f t="shared" si="4"/>
        <v>142</v>
      </c>
      <c r="K17" s="17">
        <f t="shared" si="5"/>
        <v>1.320422535211252E-3</v>
      </c>
      <c r="L17" s="6">
        <f t="shared" si="6"/>
        <v>12</v>
      </c>
      <c r="M17" s="7" t="str">
        <f>IF(L17&lt;&gt;"",L17+COUNT(L:L)&amp;", ","")</f>
        <v xml:space="preserve">17, </v>
      </c>
      <c r="N17" s="19" t="str">
        <f t="shared" si="7"/>
        <v xml:space="preserve">141, </v>
      </c>
      <c r="O17" s="19"/>
      <c r="P17" s="24"/>
    </row>
    <row r="18" spans="1:16" s="2" customFormat="1" x14ac:dyDescent="0.35">
      <c r="A18" s="7"/>
      <c r="B18" s="3"/>
      <c r="C18" s="7"/>
      <c r="D18" s="7"/>
      <c r="E18" s="20">
        <v>10000</v>
      </c>
      <c r="F18" s="8">
        <f t="shared" si="0"/>
        <v>11000</v>
      </c>
      <c r="G18" s="11">
        <f t="shared" si="1"/>
        <v>343.75</v>
      </c>
      <c r="H18" s="6">
        <f t="shared" si="2"/>
        <v>9</v>
      </c>
      <c r="I18" s="11">
        <f t="shared" si="3"/>
        <v>171.875</v>
      </c>
      <c r="J18" s="16">
        <f t="shared" si="4"/>
        <v>172</v>
      </c>
      <c r="K18" s="17">
        <f t="shared" si="5"/>
        <v>-7.2674418604645741E-4</v>
      </c>
      <c r="L18" s="6" t="str">
        <f t="shared" si="6"/>
        <v/>
      </c>
      <c r="M18" s="7" t="str">
        <f>IF(L18&lt;&gt;"",L18+COUNT(L:L)&amp;", ","")</f>
        <v/>
      </c>
      <c r="N18" s="19" t="str">
        <f t="shared" si="7"/>
        <v xml:space="preserve">171, </v>
      </c>
      <c r="O18" s="19"/>
      <c r="P18" s="24"/>
    </row>
    <row r="19" spans="1:16" s="2" customFormat="1" ht="14.5" customHeight="1" x14ac:dyDescent="0.35">
      <c r="A19" s="7"/>
      <c r="B19" s="3"/>
      <c r="C19" s="7"/>
      <c r="D19" s="7"/>
      <c r="E19" s="20">
        <v>12000</v>
      </c>
      <c r="F19" s="8">
        <f t="shared" si="0"/>
        <v>13500</v>
      </c>
      <c r="G19" s="11">
        <f t="shared" si="1"/>
        <v>421.875</v>
      </c>
      <c r="H19" s="6">
        <f t="shared" si="2"/>
        <v>9</v>
      </c>
      <c r="I19" s="11">
        <f t="shared" si="3"/>
        <v>210.9375</v>
      </c>
      <c r="J19" s="16">
        <f t="shared" si="4"/>
        <v>211</v>
      </c>
      <c r="K19" s="17">
        <f t="shared" si="5"/>
        <v>-2.962085308056972E-4</v>
      </c>
      <c r="L19" s="6" t="str">
        <f t="shared" si="6"/>
        <v/>
      </c>
      <c r="M19" s="7" t="str">
        <f>IF(L19&lt;&gt;"",L19+COUNT(L:L)&amp;", ","")</f>
        <v/>
      </c>
      <c r="N19" s="19" t="str">
        <f t="shared" si="7"/>
        <v xml:space="preserve">210, 
</v>
      </c>
      <c r="O19" s="19"/>
      <c r="P19" s="24"/>
    </row>
    <row r="20" spans="1:16" s="2" customFormat="1" x14ac:dyDescent="0.35">
      <c r="A20" s="7"/>
      <c r="B20" s="3"/>
      <c r="C20" s="7"/>
      <c r="D20" s="7"/>
      <c r="E20" s="20">
        <v>15000</v>
      </c>
      <c r="F20" s="8">
        <f t="shared" si="0"/>
        <v>16500</v>
      </c>
      <c r="G20" s="11">
        <f t="shared" si="1"/>
        <v>515.625</v>
      </c>
      <c r="H20" s="6">
        <f t="shared" si="2"/>
        <v>10</v>
      </c>
      <c r="I20" s="11">
        <f t="shared" si="3"/>
        <v>128.90625</v>
      </c>
      <c r="J20" s="16">
        <f t="shared" si="4"/>
        <v>129</v>
      </c>
      <c r="K20" s="17">
        <f t="shared" si="5"/>
        <v>-7.2674418604645741E-4</v>
      </c>
      <c r="L20" s="6">
        <f t="shared" si="6"/>
        <v>15</v>
      </c>
      <c r="M20" s="7" t="str">
        <f>IF(L20&lt;&gt;"",L20+COUNT(L:L)&amp;", ","")</f>
        <v xml:space="preserve">20, </v>
      </c>
      <c r="N20" s="19" t="str">
        <f t="shared" si="7"/>
        <v xml:space="preserve">128, </v>
      </c>
      <c r="O20" s="19"/>
      <c r="P20" s="24"/>
    </row>
    <row r="21" spans="1:16" s="2" customFormat="1" x14ac:dyDescent="0.35">
      <c r="A21" s="7"/>
      <c r="B21" s="3"/>
      <c r="C21" s="7"/>
      <c r="D21" s="7"/>
      <c r="E21" s="20">
        <v>18000</v>
      </c>
      <c r="F21" s="8">
        <f t="shared" si="0"/>
        <v>20000</v>
      </c>
      <c r="G21" s="11">
        <f t="shared" si="1"/>
        <v>625</v>
      </c>
      <c r="H21" s="6">
        <f t="shared" si="2"/>
        <v>10</v>
      </c>
      <c r="I21" s="11">
        <f t="shared" si="3"/>
        <v>156.25</v>
      </c>
      <c r="J21" s="16">
        <f t="shared" si="4"/>
        <v>156</v>
      </c>
      <c r="K21" s="17">
        <f t="shared" si="5"/>
        <v>1.6025641025640969E-3</v>
      </c>
      <c r="L21" s="6" t="str">
        <f t="shared" si="6"/>
        <v/>
      </c>
      <c r="M21" s="7" t="str">
        <f>IF(L21&lt;&gt;"",L21+COUNT(L:L)&amp;", ","")</f>
        <v/>
      </c>
      <c r="N21" s="19" t="str">
        <f t="shared" si="7"/>
        <v xml:space="preserve">155, </v>
      </c>
      <c r="O21" s="19"/>
      <c r="P21" s="24"/>
    </row>
    <row r="22" spans="1:16" s="2" customFormat="1" x14ac:dyDescent="0.35">
      <c r="A22" s="7"/>
      <c r="B22" s="3"/>
      <c r="C22" s="7"/>
      <c r="D22" s="7"/>
      <c r="E22" s="20">
        <v>22000</v>
      </c>
      <c r="F22" s="8">
        <f t="shared" si="0"/>
        <v>24500</v>
      </c>
      <c r="G22" s="11">
        <f t="shared" si="1"/>
        <v>765.625</v>
      </c>
      <c r="H22" s="6">
        <f t="shared" si="2"/>
        <v>10</v>
      </c>
      <c r="I22" s="11">
        <f t="shared" si="3"/>
        <v>191.40625</v>
      </c>
      <c r="J22" s="16">
        <f t="shared" si="4"/>
        <v>191</v>
      </c>
      <c r="K22" s="17">
        <f t="shared" si="5"/>
        <v>2.126963350785438E-3</v>
      </c>
      <c r="L22" s="6" t="str">
        <f t="shared" si="6"/>
        <v/>
      </c>
      <c r="M22" s="7" t="str">
        <f>IF(L22&lt;&gt;"",L22+COUNT(L:L)&amp;", ","")</f>
        <v/>
      </c>
      <c r="N22" s="19" t="str">
        <f t="shared" si="7"/>
        <v xml:space="preserve">190, </v>
      </c>
      <c r="O22" s="19"/>
      <c r="P22" s="24"/>
    </row>
    <row r="23" spans="1:16" s="2" customFormat="1" x14ac:dyDescent="0.35">
      <c r="A23" s="7"/>
      <c r="B23" s="3"/>
      <c r="C23" s="7"/>
      <c r="D23" s="7"/>
      <c r="E23" s="20">
        <v>27000</v>
      </c>
      <c r="F23" s="8">
        <f t="shared" si="0"/>
        <v>30000</v>
      </c>
      <c r="G23" s="11">
        <f t="shared" si="1"/>
        <v>937.5</v>
      </c>
      <c r="H23" s="6">
        <f t="shared" si="2"/>
        <v>10</v>
      </c>
      <c r="I23" s="11">
        <f t="shared" si="3"/>
        <v>234.375</v>
      </c>
      <c r="J23" s="16">
        <f t="shared" si="4"/>
        <v>234</v>
      </c>
      <c r="K23" s="17">
        <f t="shared" si="5"/>
        <v>1.6025641025640969E-3</v>
      </c>
      <c r="L23" s="6" t="str">
        <f t="shared" si="6"/>
        <v/>
      </c>
      <c r="M23" s="7" t="str">
        <f>IF(L23&lt;&gt;"",L23+COUNT(L:L)&amp;", ","")</f>
        <v/>
      </c>
      <c r="N23" s="19" t="str">
        <f t="shared" si="7"/>
        <v xml:space="preserve">233, 
</v>
      </c>
      <c r="O23" s="19"/>
      <c r="P23" s="24"/>
    </row>
    <row r="24" spans="1:16" s="2" customFormat="1" x14ac:dyDescent="0.35">
      <c r="A24" s="7"/>
      <c r="B24" s="3"/>
      <c r="C24" s="7"/>
      <c r="D24" s="7"/>
      <c r="E24" s="20">
        <v>33000</v>
      </c>
      <c r="F24" s="8">
        <f t="shared" si="0"/>
        <v>36000</v>
      </c>
      <c r="G24" s="11">
        <f t="shared" si="1"/>
        <v>1125</v>
      </c>
      <c r="H24" s="6">
        <f t="shared" si="2"/>
        <v>11</v>
      </c>
      <c r="I24" s="11">
        <f t="shared" si="3"/>
        <v>140.625</v>
      </c>
      <c r="J24" s="16">
        <f t="shared" si="4"/>
        <v>141</v>
      </c>
      <c r="K24" s="17">
        <f t="shared" si="5"/>
        <v>-2.6595744680850686E-3</v>
      </c>
      <c r="L24" s="6">
        <f t="shared" si="6"/>
        <v>19</v>
      </c>
      <c r="M24" s="7" t="str">
        <f>IF(L24&lt;&gt;"",L24+COUNT(L:L)&amp;", ","")</f>
        <v xml:space="preserve">24, </v>
      </c>
      <c r="N24" s="19" t="str">
        <f t="shared" si="7"/>
        <v xml:space="preserve">140, </v>
      </c>
      <c r="O24" s="19"/>
      <c r="P24" s="24"/>
    </row>
    <row r="25" spans="1:16" s="2" customFormat="1" x14ac:dyDescent="0.35">
      <c r="A25" s="7"/>
      <c r="B25" s="3"/>
      <c r="C25" s="7"/>
      <c r="D25" s="7"/>
      <c r="E25" s="20">
        <v>39000</v>
      </c>
      <c r="F25" s="8">
        <f t="shared" si="0"/>
        <v>43000</v>
      </c>
      <c r="G25" s="11">
        <f t="shared" si="1"/>
        <v>1343.75</v>
      </c>
      <c r="H25" s="6">
        <f t="shared" si="2"/>
        <v>11</v>
      </c>
      <c r="I25" s="11">
        <f t="shared" si="3"/>
        <v>167.96875</v>
      </c>
      <c r="J25" s="16">
        <f t="shared" si="4"/>
        <v>168</v>
      </c>
      <c r="K25" s="17">
        <f t="shared" si="5"/>
        <v>-1.8601190476186247E-4</v>
      </c>
      <c r="L25" s="6" t="str">
        <f t="shared" si="6"/>
        <v/>
      </c>
      <c r="M25" s="7" t="str">
        <f>IF(L25&lt;&gt;"",L25+COUNT(L:L)&amp;", ","")</f>
        <v/>
      </c>
      <c r="N25" s="19" t="str">
        <f t="shared" si="7"/>
        <v xml:space="preserve">167, </v>
      </c>
      <c r="O25" s="19"/>
      <c r="P25" s="24"/>
    </row>
    <row r="26" spans="1:16" s="2" customFormat="1" x14ac:dyDescent="0.35">
      <c r="A26" s="7"/>
      <c r="B26" s="3"/>
      <c r="C26" s="7"/>
      <c r="D26" s="7"/>
      <c r="E26" s="20">
        <v>47000</v>
      </c>
      <c r="F26" s="8">
        <f t="shared" si="0"/>
        <v>51500</v>
      </c>
      <c r="G26" s="11">
        <f t="shared" si="1"/>
        <v>1609.375</v>
      </c>
      <c r="H26" s="6">
        <f t="shared" si="2"/>
        <v>11</v>
      </c>
      <c r="I26" s="11">
        <f t="shared" si="3"/>
        <v>201.171875</v>
      </c>
      <c r="J26" s="16">
        <f t="shared" si="4"/>
        <v>201</v>
      </c>
      <c r="K26" s="17">
        <f t="shared" si="5"/>
        <v>8.5509950248763289E-4</v>
      </c>
      <c r="L26" s="6" t="str">
        <f t="shared" si="6"/>
        <v/>
      </c>
      <c r="M26" s="7" t="str">
        <f>IF(L26&lt;&gt;"",L26+COUNT(L:L)&amp;", ","")</f>
        <v/>
      </c>
      <c r="N26" s="19" t="str">
        <f t="shared" si="7"/>
        <v xml:space="preserve">200, 
</v>
      </c>
      <c r="O26" s="19"/>
      <c r="P26" s="24"/>
    </row>
    <row r="27" spans="1:16" s="2" customFormat="1" x14ac:dyDescent="0.35">
      <c r="A27" s="7"/>
      <c r="B27" s="3"/>
      <c r="C27" s="7"/>
      <c r="D27" s="7"/>
      <c r="E27" s="20">
        <v>56000</v>
      </c>
      <c r="F27" s="8"/>
      <c r="G27" s="11"/>
      <c r="H27" s="6"/>
      <c r="I27" s="11"/>
      <c r="J27" s="16"/>
      <c r="K27" s="17"/>
      <c r="L27" s="6">
        <f t="shared" si="6"/>
        <v>22</v>
      </c>
      <c r="M27" s="7" t="str">
        <f>IF(L27&lt;&gt;"",L27+COUNT(L:L)&amp;", ","")</f>
        <v xml:space="preserve">27, </v>
      </c>
      <c r="N27" s="19" t="str">
        <f t="shared" si="7"/>
        <v xml:space="preserve">255
</v>
      </c>
      <c r="O27" s="19"/>
      <c r="P27" s="24"/>
    </row>
    <row r="28" spans="1:16" s="2" customFormat="1" x14ac:dyDescent="0.35">
      <c r="A28" s="7"/>
      <c r="B28" s="3"/>
      <c r="C28" s="7"/>
      <c r="D28" s="7"/>
      <c r="E28" s="6"/>
      <c r="F28"/>
      <c r="G28"/>
      <c r="H28" s="6"/>
      <c r="I28"/>
      <c r="J28"/>
      <c r="K28"/>
      <c r="L28" s="6"/>
      <c r="M28"/>
      <c r="N28"/>
      <c r="O28" s="19"/>
      <c r="P28" s="24"/>
    </row>
    <row r="29" spans="1:16" s="2" customFormat="1" x14ac:dyDescent="0.35">
      <c r="A29" s="7"/>
      <c r="B29" s="3"/>
      <c r="C29" s="7"/>
      <c r="D29" s="7"/>
      <c r="E29" s="6"/>
      <c r="F29"/>
      <c r="G29"/>
      <c r="H29" s="6"/>
      <c r="I29"/>
      <c r="J29"/>
      <c r="K29"/>
      <c r="L29" s="6"/>
      <c r="M29"/>
      <c r="N29"/>
      <c r="O29" s="19"/>
      <c r="P29" s="24"/>
    </row>
    <row r="30" spans="1:16" s="2" customFormat="1" x14ac:dyDescent="0.35">
      <c r="A30" s="7"/>
      <c r="B30" s="3"/>
      <c r="C30" s="7"/>
      <c r="D30" s="7"/>
      <c r="E30" s="6"/>
      <c r="F30"/>
      <c r="G30"/>
      <c r="H30" s="6"/>
      <c r="I30"/>
      <c r="J30"/>
      <c r="K30"/>
      <c r="L30" s="6"/>
      <c r="M30"/>
      <c r="N30"/>
      <c r="O30" s="19"/>
      <c r="P30" s="24"/>
    </row>
    <row r="31" spans="1:16" s="2" customFormat="1" x14ac:dyDescent="0.35">
      <c r="A31" s="7"/>
      <c r="B31" s="3"/>
      <c r="C31" s="7"/>
      <c r="D31" s="7"/>
      <c r="E31" s="6"/>
      <c r="F31"/>
      <c r="G31"/>
      <c r="H31"/>
      <c r="I31"/>
      <c r="J31"/>
      <c r="K31"/>
      <c r="L31" s="6"/>
      <c r="M31"/>
      <c r="N31"/>
      <c r="O31" s="19"/>
      <c r="P31" s="24"/>
    </row>
    <row r="32" spans="1:16" s="2" customFormat="1" x14ac:dyDescent="0.35">
      <c r="A32" s="7"/>
      <c r="B32" s="3"/>
      <c r="C32" s="7"/>
      <c r="D32" s="7"/>
      <c r="E32" s="6"/>
      <c r="F32"/>
      <c r="G32"/>
      <c r="H32"/>
      <c r="I32"/>
      <c r="J32"/>
      <c r="K32"/>
      <c r="L32" s="6"/>
      <c r="M32"/>
      <c r="N32"/>
      <c r="O32" s="19"/>
      <c r="P32" s="24"/>
    </row>
    <row r="33" spans="1:18" s="2" customFormat="1" x14ac:dyDescent="0.35">
      <c r="A33" s="7"/>
      <c r="B33" s="3"/>
      <c r="C33" s="7"/>
      <c r="D33" s="7"/>
      <c r="E33" s="6"/>
      <c r="F33"/>
      <c r="G33"/>
      <c r="H33"/>
      <c r="I33"/>
      <c r="J33"/>
      <c r="K33"/>
      <c r="L33" s="6"/>
      <c r="M33"/>
      <c r="N33"/>
      <c r="O33" s="19"/>
      <c r="P33" s="24"/>
      <c r="R33" s="21"/>
    </row>
    <row r="34" spans="1:18" s="2" customFormat="1" x14ac:dyDescent="0.35">
      <c r="A34" s="6"/>
      <c r="B34" s="3"/>
      <c r="C34" s="7"/>
      <c r="D34" s="7"/>
      <c r="E34" s="6"/>
      <c r="F34"/>
      <c r="G34"/>
      <c r="H34"/>
      <c r="I34"/>
      <c r="J34"/>
      <c r="K34"/>
      <c r="L34" s="6"/>
      <c r="M34"/>
      <c r="N34"/>
      <c r="O34" s="19"/>
      <c r="P34" s="24"/>
    </row>
    <row r="35" spans="1:18" s="2" customFormat="1" x14ac:dyDescent="0.35">
      <c r="A35" s="6"/>
      <c r="B35" s="3"/>
      <c r="C35" s="7"/>
      <c r="D35" s="7"/>
      <c r="E35" s="6"/>
      <c r="F35"/>
      <c r="G35"/>
      <c r="H35"/>
      <c r="I35"/>
      <c r="J35"/>
      <c r="K35"/>
      <c r="L35" s="6"/>
      <c r="M35"/>
      <c r="N35"/>
      <c r="O35" s="19"/>
      <c r="P35" s="24"/>
    </row>
    <row r="36" spans="1:18" s="2" customFormat="1" x14ac:dyDescent="0.35">
      <c r="A36" s="6"/>
      <c r="B36" s="3"/>
      <c r="C36" s="7"/>
      <c r="D36" s="7"/>
      <c r="E36" s="6"/>
      <c r="F36"/>
      <c r="G36"/>
      <c r="H36"/>
      <c r="I36"/>
      <c r="J36"/>
      <c r="K36"/>
      <c r="L36" s="6"/>
      <c r="M36"/>
      <c r="N36"/>
      <c r="O36" s="19"/>
      <c r="P36" s="24"/>
    </row>
    <row r="37" spans="1:18" x14ac:dyDescent="0.35">
      <c r="B37" s="3"/>
      <c r="C37" s="7"/>
      <c r="O37" s="19"/>
      <c r="P37" s="24"/>
    </row>
    <row r="38" spans="1:18" x14ac:dyDescent="0.35">
      <c r="B38" s="3"/>
      <c r="C38" s="7"/>
      <c r="O38" s="19"/>
      <c r="P38" s="24"/>
    </row>
    <row r="39" spans="1:18" x14ac:dyDescent="0.35">
      <c r="B39" s="3"/>
      <c r="C39" s="7"/>
      <c r="O39" s="19"/>
      <c r="P39" s="24"/>
    </row>
    <row r="40" spans="1:18" x14ac:dyDescent="0.35">
      <c r="C40" s="7"/>
      <c r="O40" s="19"/>
      <c r="P40" s="24"/>
    </row>
    <row r="41" spans="1:18" x14ac:dyDescent="0.35">
      <c r="O41" s="19"/>
      <c r="P41" s="24"/>
    </row>
    <row r="42" spans="1:18" x14ac:dyDescent="0.35">
      <c r="O42" s="19"/>
      <c r="P42" s="24"/>
    </row>
    <row r="43" spans="1:18" x14ac:dyDescent="0.35">
      <c r="O43" s="19"/>
      <c r="P43" s="24"/>
    </row>
    <row r="44" spans="1:18" x14ac:dyDescent="0.35">
      <c r="O44" s="6"/>
    </row>
    <row r="45" spans="1:18" x14ac:dyDescent="0.35">
      <c r="O45" s="6"/>
    </row>
    <row r="48" spans="1:18" x14ac:dyDescent="0.35">
      <c r="O48" s="6"/>
    </row>
  </sheetData>
  <mergeCells count="8">
    <mergeCell ref="B15:C15"/>
    <mergeCell ref="P5:P43"/>
    <mergeCell ref="B16:C16"/>
    <mergeCell ref="H3:K3"/>
    <mergeCell ref="B3:C3"/>
    <mergeCell ref="E3:G3"/>
    <mergeCell ref="B12:C12"/>
    <mergeCell ref="L3:P3"/>
  </mergeCells>
  <pageMargins left="0.7" right="0.7" top="0.75" bottom="0.75" header="0.3" footer="0.3"/>
  <pageSetup paperSize="9" orientation="portrait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Dennis</cp:lastModifiedBy>
  <dcterms:created xsi:type="dcterms:W3CDTF">2020-12-14T18:39:49Z</dcterms:created>
  <dcterms:modified xsi:type="dcterms:W3CDTF">2021-01-12T12:09:01Z</dcterms:modified>
</cp:coreProperties>
</file>